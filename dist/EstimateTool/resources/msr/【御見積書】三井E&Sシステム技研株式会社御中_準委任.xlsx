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Ls220daa5\eng事業部\03_ES部\19.三井E&amp;Sシステム技研(株)\2026\7-9月\見積書\"/>
    </mc:Choice>
  </mc:AlternateContent>
  <xr:revisionPtr revIDLastSave="0" documentId="13_ncr:1_{3EBA3E8F-9081-4739-B357-28CF7C61455C}" xr6:coauthVersionLast="47" xr6:coauthVersionMax="47" xr10:uidLastSave="{00000000-0000-0000-0000-000000000000}"/>
  <bookViews>
    <workbookView xWindow="5856" yWindow="0" windowWidth="17280" windowHeight="9120" activeTab="2" xr2:uid="{BA580689-7244-4F55-B847-8CD3DE33F8AD}"/>
  </bookViews>
  <sheets>
    <sheet name="渡邉慶" sheetId="2" r:id="rId1"/>
    <sheet name="鈴木 一嘉" sheetId="3" r:id="rId2"/>
    <sheet name="岡 貴彦" sheetId="4" r:id="rId3"/>
    <sheet name="近藤 匠" sheetId="5" r:id="rId4"/>
    <sheet name="山田 隆一" sheetId="6" r:id="rId5"/>
  </sheets>
  <definedNames>
    <definedName name="_xlnm.Print_Area" localSheetId="2">'岡 貴彦'!$A$1:$L$43</definedName>
    <definedName name="_xlnm.Print_Area" localSheetId="3">'近藤 匠'!$A$1:$L$43</definedName>
    <definedName name="_xlnm.Print_Area" localSheetId="4">'山田 隆一'!$A$1:$L$43</definedName>
    <definedName name="_xlnm.Print_Area" localSheetId="0">渡邉慶!$A$1:$L$43</definedName>
    <definedName name="_xlnm.Print_Area" localSheetId="1">'鈴木 一嘉'!$A$1:$L$43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0" i="6" l="1"/>
  <c r="K30" i="6" s="1"/>
  <c r="F12" i="6" s="1"/>
  <c r="K20" i="5"/>
  <c r="K30" i="5" s="1"/>
  <c r="F12" i="5" s="1"/>
  <c r="K20" i="4"/>
  <c r="K30" i="4" s="1"/>
  <c r="F12" i="4" s="1"/>
  <c r="K20" i="3" l="1"/>
  <c r="K30" i="3" s="1"/>
  <c r="F12" i="3" s="1"/>
  <c r="K20" i="2"/>
  <c r="K30" i="2" l="1"/>
  <c r="F12" i="2" s="1"/>
</calcChain>
</file>

<file path=xl/sharedStrings.xml><?xml version="1.0" encoding="utf-8"?>
<sst xmlns="http://schemas.openxmlformats.org/spreadsheetml/2006/main" count="205" uniqueCount="59">
  <si>
    <t xml:space="preserve">御　見　積　書 </t>
    <rPh sb="0" eb="1">
      <t>オ</t>
    </rPh>
    <rPh sb="2" eb="3">
      <t>ミ</t>
    </rPh>
    <rPh sb="4" eb="5">
      <t>セキ</t>
    </rPh>
    <rPh sb="6" eb="7">
      <t>ショ</t>
    </rPh>
    <phoneticPr fontId="3"/>
  </si>
  <si>
    <t>（業務委託）</t>
    <rPh sb="1" eb="3">
      <t>ギョウム</t>
    </rPh>
    <rPh sb="3" eb="5">
      <t>イタク</t>
    </rPh>
    <phoneticPr fontId="3"/>
  </si>
  <si>
    <t>三井E＆Sシステム技研株式会社</t>
    <rPh sb="0" eb="2">
      <t>ミツイ</t>
    </rPh>
    <rPh sb="9" eb="11">
      <t>ギケン</t>
    </rPh>
    <rPh sb="11" eb="15">
      <t>カブシキガイシャ</t>
    </rPh>
    <phoneticPr fontId="3"/>
  </si>
  <si>
    <t>　豊田事業部　御中</t>
    <rPh sb="1" eb="3">
      <t>トヨタ</t>
    </rPh>
    <rPh sb="3" eb="6">
      <t>ジギョウブ</t>
    </rPh>
    <phoneticPr fontId="3"/>
  </si>
  <si>
    <t>ご依頼の件について、下記の通りお見積申し上げます。</t>
    <rPh sb="1" eb="3">
      <t>イライ</t>
    </rPh>
    <rPh sb="4" eb="5">
      <t>ケン</t>
    </rPh>
    <rPh sb="10" eb="12">
      <t>カキ</t>
    </rPh>
    <rPh sb="13" eb="14">
      <t>トオ</t>
    </rPh>
    <rPh sb="16" eb="18">
      <t>ミツモリ</t>
    </rPh>
    <rPh sb="18" eb="19">
      <t>モウ</t>
    </rPh>
    <rPh sb="20" eb="21">
      <t>ア</t>
    </rPh>
    <phoneticPr fontId="3"/>
  </si>
  <si>
    <t>承認</t>
    <rPh sb="0" eb="2">
      <t>ショウニン</t>
    </rPh>
    <phoneticPr fontId="3"/>
  </si>
  <si>
    <t>起案</t>
    <rPh sb="0" eb="2">
      <t>キアン</t>
    </rPh>
    <phoneticPr fontId="3"/>
  </si>
  <si>
    <t>合計見積金額：￥</t>
    <rPh sb="0" eb="2">
      <t>ゴウケイ</t>
    </rPh>
    <rPh sb="2" eb="4">
      <t>ミツモリ</t>
    </rPh>
    <rPh sb="4" eb="6">
      <t>キンガク</t>
    </rPh>
    <phoneticPr fontId="3"/>
  </si>
  <si>
    <t>(税抜)</t>
    <rPh sb="1" eb="2">
      <t>ゼイ</t>
    </rPh>
    <rPh sb="2" eb="3">
      <t>ヌ</t>
    </rPh>
    <phoneticPr fontId="3"/>
  </si>
  <si>
    <t>作業件名</t>
    <rPh sb="0" eb="2">
      <t>サギョウ</t>
    </rPh>
    <rPh sb="2" eb="4">
      <t>ケンメイ</t>
    </rPh>
    <phoneticPr fontId="3"/>
  </si>
  <si>
    <t>TERRACE 仕入先展開</t>
    <phoneticPr fontId="3"/>
  </si>
  <si>
    <t>№</t>
  </si>
  <si>
    <t>構 成 内 訳</t>
    <rPh sb="0" eb="1">
      <t>カマエ</t>
    </rPh>
    <rPh sb="2" eb="3">
      <t>シゲル</t>
    </rPh>
    <rPh sb="4" eb="5">
      <t>ウチ</t>
    </rPh>
    <rPh sb="6" eb="7">
      <t>ワケ</t>
    </rPh>
    <phoneticPr fontId="3"/>
  </si>
  <si>
    <t>数量</t>
    <rPh sb="0" eb="2">
      <t>スウリョウ</t>
    </rPh>
    <phoneticPr fontId="3"/>
  </si>
  <si>
    <t>単位</t>
    <rPh sb="0" eb="2">
      <t>タンイ</t>
    </rPh>
    <phoneticPr fontId="3"/>
  </si>
  <si>
    <t>単価</t>
    <rPh sb="0" eb="2">
      <t>タンカ</t>
    </rPh>
    <phoneticPr fontId="3"/>
  </si>
  <si>
    <t>金額</t>
    <rPh sb="0" eb="2">
      <t>キンガク</t>
    </rPh>
    <phoneticPr fontId="3"/>
  </si>
  <si>
    <t>TERRACE 仕入先展開　人月単価 88万円</t>
    <rPh sb="8" eb="11">
      <t>シイレサキ</t>
    </rPh>
    <rPh sb="11" eb="13">
      <t>テンカイ</t>
    </rPh>
    <phoneticPr fontId="2"/>
  </si>
  <si>
    <t>月</t>
    <rPh sb="0" eb="1">
      <t>ツキ</t>
    </rPh>
    <phoneticPr fontId="3"/>
  </si>
  <si>
    <t>合計</t>
    <rPh sb="0" eb="2">
      <t>ゴウケイ</t>
    </rPh>
    <phoneticPr fontId="3"/>
  </si>
  <si>
    <t>電話番号</t>
    <rPh sb="0" eb="2">
      <t>デンワ</t>
    </rPh>
    <rPh sb="2" eb="4">
      <t>バンゴウ</t>
    </rPh>
    <phoneticPr fontId="3"/>
  </si>
  <si>
    <t>御支払条件</t>
    <phoneticPr fontId="3"/>
  </si>
  <si>
    <t>検収月末締め、翌月末銀行振り込み</t>
    <rPh sb="0" eb="2">
      <t>ケンシュウ</t>
    </rPh>
    <rPh sb="2" eb="3">
      <t>ツキ</t>
    </rPh>
    <rPh sb="3" eb="4">
      <t>マツ</t>
    </rPh>
    <rPh sb="4" eb="5">
      <t>シ</t>
    </rPh>
    <rPh sb="7" eb="9">
      <t>ヨクゲツ</t>
    </rPh>
    <rPh sb="9" eb="10">
      <t>マツ</t>
    </rPh>
    <rPh sb="10" eb="12">
      <t>ギンコウ</t>
    </rPh>
    <rPh sb="12" eb="13">
      <t>フ</t>
    </rPh>
    <rPh sb="14" eb="15">
      <t>コ</t>
    </rPh>
    <phoneticPr fontId="3"/>
  </si>
  <si>
    <t>E-mail</t>
    <phoneticPr fontId="3"/>
  </si>
  <si>
    <t>納期/受渡 期日</t>
    <rPh sb="0" eb="2">
      <t>ノウキ</t>
    </rPh>
    <rPh sb="3" eb="5">
      <t>ウケワタシ</t>
    </rPh>
    <rPh sb="6" eb="8">
      <t>キジツ</t>
    </rPh>
    <phoneticPr fontId="3"/>
  </si>
  <si>
    <t>-</t>
    <phoneticPr fontId="3"/>
  </si>
  <si>
    <t>検査完了期日</t>
    <rPh sb="0" eb="2">
      <t>ケンサ</t>
    </rPh>
    <rPh sb="2" eb="4">
      <t>カンリョウ</t>
    </rPh>
    <rPh sb="4" eb="6">
      <t>キジツ</t>
    </rPh>
    <phoneticPr fontId="3"/>
  </si>
  <si>
    <t>管理番号</t>
    <rPh sb="0" eb="2">
      <t>カンリ</t>
    </rPh>
    <rPh sb="2" eb="4">
      <t>バンゴウ</t>
    </rPh>
    <phoneticPr fontId="3"/>
  </si>
  <si>
    <t>見積有効期限</t>
  </si>
  <si>
    <t>特記事項</t>
    <phoneticPr fontId="3"/>
  </si>
  <si>
    <t>　　付記　１．上記基準単価（円/月）には、消費税は含まれておりませんので、ご請求時には</t>
    <phoneticPr fontId="3"/>
  </si>
  <si>
    <t>　　　　　　　　別途算定して、当該見積金額に加算してご請求させていただきます。</t>
    <phoneticPr fontId="3"/>
  </si>
  <si>
    <t>itaku@aim-info.co.jp</t>
    <phoneticPr fontId="3"/>
  </si>
  <si>
    <t>052-589-0816</t>
    <phoneticPr fontId="3"/>
  </si>
  <si>
    <t>見積依頼番号</t>
    <rPh sb="0" eb="2">
      <t>ミツモリ</t>
    </rPh>
    <rPh sb="2" eb="4">
      <t>イライ</t>
    </rPh>
    <rPh sb="4" eb="6">
      <t>バンゴウ</t>
    </rPh>
    <phoneticPr fontId="3"/>
  </si>
  <si>
    <t>管理責任者：渡邉 慶</t>
    <phoneticPr fontId="2"/>
  </si>
  <si>
    <t>納期（作業期間） 2026年4月1日～6月30日</t>
    <rPh sb="0" eb="2">
      <t>ノウキ</t>
    </rPh>
    <rPh sb="3" eb="5">
      <t>サギョウ</t>
    </rPh>
    <rPh sb="5" eb="7">
      <t>キカン</t>
    </rPh>
    <rPh sb="13" eb="14">
      <t>ネン</t>
    </rPh>
    <rPh sb="15" eb="16">
      <t>ガツ</t>
    </rPh>
    <rPh sb="17" eb="18">
      <t>ニチ</t>
    </rPh>
    <rPh sb="20" eb="21">
      <t>ガツ</t>
    </rPh>
    <rPh sb="23" eb="24">
      <t>ニチ</t>
    </rPh>
    <phoneticPr fontId="3"/>
  </si>
  <si>
    <t>2026/4/30、2026/5/31、2026/6/30</t>
    <phoneticPr fontId="2"/>
  </si>
  <si>
    <t>TERRACE 仕入先展開　人月単価 85万円</t>
    <phoneticPr fontId="2"/>
  </si>
  <si>
    <t>CATIA V6関連運用検討</t>
    <phoneticPr fontId="3"/>
  </si>
  <si>
    <t>CATIA V6関連運用検討　人月単価 90万円</t>
    <phoneticPr fontId="2"/>
  </si>
  <si>
    <t>CATIA V6関連運用検討　人月単価 75万円</t>
    <phoneticPr fontId="2"/>
  </si>
  <si>
    <t>C202603-05</t>
    <phoneticPr fontId="3"/>
  </si>
  <si>
    <t>No.19101071</t>
    <phoneticPr fontId="3"/>
  </si>
  <si>
    <t>C202603-06</t>
    <phoneticPr fontId="3"/>
  </si>
  <si>
    <t>CATIA V6関連運用検討　人月単価 70万円</t>
    <phoneticPr fontId="2"/>
  </si>
  <si>
    <t>No.19101072</t>
    <phoneticPr fontId="3"/>
  </si>
  <si>
    <t>管理責任者：岡 貴彦</t>
    <phoneticPr fontId="2"/>
  </si>
  <si>
    <t>No.19101074</t>
    <phoneticPr fontId="3"/>
  </si>
  <si>
    <t>No.19101073</t>
    <phoneticPr fontId="3"/>
  </si>
  <si>
    <t>C202606-01</t>
    <phoneticPr fontId="3"/>
  </si>
  <si>
    <t>2026/7/31、2026/8/31、2026/9/30</t>
  </si>
  <si>
    <t>2026/7/31、2026/8/31、2026/9/30</t>
    <phoneticPr fontId="2"/>
  </si>
  <si>
    <t>納期（作業期間） 2026年7月1日～9月30日</t>
    <rPh sb="0" eb="2">
      <t>ノウキ</t>
    </rPh>
    <rPh sb="3" eb="5">
      <t>サギョウ</t>
    </rPh>
    <rPh sb="5" eb="7">
      <t>キカン</t>
    </rPh>
    <rPh sb="13" eb="14">
      <t>ネン</t>
    </rPh>
    <rPh sb="15" eb="16">
      <t>ガツ</t>
    </rPh>
    <rPh sb="17" eb="18">
      <t>ニチ</t>
    </rPh>
    <rPh sb="20" eb="21">
      <t>ガツ</t>
    </rPh>
    <rPh sb="23" eb="24">
      <t>ニチ</t>
    </rPh>
    <phoneticPr fontId="3"/>
  </si>
  <si>
    <t>C202606-03</t>
    <phoneticPr fontId="3"/>
  </si>
  <si>
    <t>C202606-04</t>
    <phoneticPr fontId="3"/>
  </si>
  <si>
    <t>No.19101075</t>
    <phoneticPr fontId="3"/>
  </si>
  <si>
    <t>納期（作業期間） 2026年7月1日～9月30日</t>
    <rPh sb="0" eb="2">
      <t>ノウキ</t>
    </rPh>
    <rPh sb="3" eb="5">
      <t>サギョウ</t>
    </rPh>
    <rPh sb="5" eb="7">
      <t>キカン</t>
    </rPh>
    <rPh sb="13" eb="14">
      <t>ネン</t>
    </rPh>
    <rPh sb="15" eb="16">
      <t>ガツ</t>
    </rPh>
    <rPh sb="17" eb="18">
      <t>ニチ</t>
    </rPh>
    <rPh sb="22" eb="23">
      <t>ニチ</t>
    </rPh>
    <phoneticPr fontId="3"/>
  </si>
  <si>
    <t>　豊田事業部 PLMサービス部　御中</t>
    <rPh sb="1" eb="3">
      <t>トヨタ</t>
    </rPh>
    <rPh sb="3" eb="6">
      <t>ジギョウブ</t>
    </rPh>
    <rPh sb="14" eb="15">
      <t>ブ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</si>
</sst>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¥&quot;#,##0;&quot;¥&quot;\-#,##0"/>
    <numFmt numFmtId="176" formatCode="0.0"/>
    <numFmt numFmtId="177" formatCode="[$-411]ggge&quot;年&quot;m&quot;月&quot;d&quot;日&quot;;@"/>
    <numFmt numFmtId="178" formatCode="yyyy/m/d;@"/>
    <numFmt numFmtId="179" formatCode="yyyy&quot;年&quot;m&quot;月&quot;d&quot;日&quot;;@"/>
  </numFmts>
  <fonts count="18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b/>
      <u/>
      <sz val="18"/>
      <color indexed="8"/>
      <name val="ＭＳ Ｐゴシック"/>
      <family val="3"/>
      <charset val="128"/>
    </font>
    <font>
      <b/>
      <sz val="18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b/>
      <sz val="16"/>
      <color indexed="8"/>
      <name val="ＭＳ Ｐゴシック"/>
      <family val="3"/>
      <charset val="128"/>
    </font>
    <font>
      <b/>
      <sz val="20"/>
      <name val="ＭＳ Ｐゴシック"/>
      <family val="3"/>
      <charset val="128"/>
    </font>
    <font>
      <b/>
      <sz val="20"/>
      <color indexed="8"/>
      <name val="ＭＳ Ｐゴシック"/>
      <family val="3"/>
      <charset val="128"/>
    </font>
    <font>
      <b/>
      <sz val="12"/>
      <color indexed="8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2"/>
      <color indexed="8"/>
      <name val="ＭＳ Ｐゴシック"/>
      <family val="3"/>
      <charset val="128"/>
    </font>
    <font>
      <u/>
      <sz val="11"/>
      <color theme="10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100">
    <xf numFmtId="0" fontId="0" fillId="0" borderId="0" xfId="0">
      <alignment vertical="center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8" fillId="0" borderId="0" xfId="0" applyFont="1" applyAlignment="1" applyProtection="1">
      <alignment horizontal="center" vertical="center"/>
      <protection locked="0"/>
    </xf>
    <xf numFmtId="37" fontId="10" fillId="0" borderId="0" xfId="0" applyNumberFormat="1" applyFont="1" applyAlignment="1" applyProtection="1">
      <alignment horizontal="center" vertical="center"/>
      <protection locked="0"/>
    </xf>
    <xf numFmtId="0" fontId="12" fillId="0" borderId="0" xfId="0" applyFont="1">
      <alignment vertical="center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176" fontId="14" fillId="0" borderId="2" xfId="0" applyNumberFormat="1" applyFont="1" applyBorder="1" applyAlignment="1" applyProtection="1">
      <alignment horizontal="center" vertical="center" wrapText="1"/>
      <protection locked="0"/>
    </xf>
    <xf numFmtId="5" fontId="7" fillId="0" borderId="11" xfId="0" applyNumberFormat="1" applyFont="1" applyBorder="1" applyAlignment="1" applyProtection="1">
      <alignment horizontal="right" vertical="center" wrapText="1"/>
      <protection locked="0"/>
    </xf>
    <xf numFmtId="0" fontId="1" fillId="0" borderId="0" xfId="0" applyFont="1">
      <alignment vertical="center"/>
    </xf>
    <xf numFmtId="5" fontId="14" fillId="0" borderId="2" xfId="0" applyNumberFormat="1" applyFont="1" applyBorder="1" applyAlignment="1" applyProtection="1">
      <alignment horizontal="right" vertical="center" wrapText="1"/>
      <protection locked="0"/>
    </xf>
    <xf numFmtId="5" fontId="7" fillId="0" borderId="11" xfId="0" applyNumberFormat="1" applyFont="1" applyBorder="1" applyAlignment="1" applyProtection="1">
      <alignment vertical="center" shrinkToFit="1"/>
      <protection locked="0"/>
    </xf>
    <xf numFmtId="5" fontId="7" fillId="0" borderId="13" xfId="0" applyNumberFormat="1" applyFont="1" applyBorder="1" applyAlignment="1" applyProtection="1">
      <alignment vertical="center" shrinkToFit="1"/>
      <protection locked="0"/>
    </xf>
    <xf numFmtId="0" fontId="15" fillId="0" borderId="11" xfId="0" applyFont="1" applyBorder="1" applyAlignment="1" applyProtection="1">
      <alignment horizontal="left" vertical="center"/>
      <protection locked="0"/>
    </xf>
    <xf numFmtId="0" fontId="15" fillId="0" borderId="12" xfId="0" applyFont="1" applyBorder="1" applyAlignment="1" applyProtection="1">
      <alignment horizontal="left" vertical="center"/>
      <protection locked="0"/>
    </xf>
    <xf numFmtId="176" fontId="14" fillId="0" borderId="11" xfId="0" applyNumberFormat="1" applyFont="1" applyBorder="1" applyAlignment="1" applyProtection="1">
      <alignment horizontal="right" vertical="center" wrapText="1"/>
      <protection locked="0"/>
    </xf>
    <xf numFmtId="176" fontId="7" fillId="0" borderId="11" xfId="0" applyNumberFormat="1" applyFont="1" applyBorder="1" applyAlignment="1" applyProtection="1">
      <alignment horizontal="right" vertical="center" wrapText="1"/>
      <protection locked="0"/>
    </xf>
    <xf numFmtId="5" fontId="14" fillId="0" borderId="11" xfId="0" applyNumberFormat="1" applyFont="1" applyBorder="1" applyAlignment="1" applyProtection="1">
      <alignment horizontal="right" vertical="center" wrapText="1"/>
      <protection locked="0"/>
    </xf>
    <xf numFmtId="5" fontId="7" fillId="0" borderId="11" xfId="0" applyNumberFormat="1" applyFont="1" applyBorder="1" applyAlignment="1" applyProtection="1">
      <alignment horizontal="center" vertical="center" wrapText="1"/>
      <protection locked="0"/>
    </xf>
    <xf numFmtId="5" fontId="7" fillId="0" borderId="13" xfId="0" applyNumberFormat="1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vertical="center" wrapText="1"/>
      <protection locked="0"/>
    </xf>
    <xf numFmtId="0" fontId="13" fillId="0" borderId="12" xfId="0" applyFont="1" applyBorder="1" applyAlignment="1" applyProtection="1">
      <alignment vertical="center" wrapText="1"/>
      <protection locked="0"/>
    </xf>
    <xf numFmtId="0" fontId="13" fillId="0" borderId="0" xfId="0" applyFont="1" applyAlignment="1">
      <alignment horizontal="center" vertical="center" wrapText="1"/>
    </xf>
    <xf numFmtId="0" fontId="13" fillId="0" borderId="2" xfId="0" applyFont="1" applyBorder="1" applyAlignment="1" applyProtection="1">
      <alignment vertical="center" wrapText="1"/>
      <protection locked="0"/>
    </xf>
    <xf numFmtId="0" fontId="15" fillId="0" borderId="2" xfId="0" applyFont="1" applyBorder="1" applyAlignment="1" applyProtection="1">
      <alignment horizontal="left" vertical="center"/>
      <protection locked="0"/>
    </xf>
    <xf numFmtId="0" fontId="13" fillId="0" borderId="2" xfId="0" applyFont="1" applyBorder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>
      <alignment horizontal="center" vertical="center"/>
    </xf>
    <xf numFmtId="0" fontId="11" fillId="0" borderId="2" xfId="0" applyFont="1" applyBorder="1" applyAlignment="1" applyProtection="1">
      <alignment horizontal="center" vertical="center"/>
      <protection locked="0"/>
    </xf>
    <xf numFmtId="14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179" fontId="1" fillId="0" borderId="0" xfId="0" applyNumberFormat="1" applyFont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37" fontId="9" fillId="0" borderId="0" xfId="0" applyNumberFormat="1" applyFont="1" applyAlignment="1" applyProtection="1">
      <alignment horizontal="center" vertical="center"/>
      <protection locked="0"/>
    </xf>
    <xf numFmtId="37" fontId="9" fillId="0" borderId="4" xfId="0" applyNumberFormat="1" applyFont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 shrinkToFit="1"/>
      <protection locked="0"/>
    </xf>
    <xf numFmtId="5" fontId="7" fillId="0" borderId="11" xfId="0" applyNumberFormat="1" applyFont="1" applyBorder="1" applyAlignment="1" applyProtection="1">
      <alignment horizontal="center" vertical="center" wrapText="1"/>
      <protection locked="0"/>
    </xf>
    <xf numFmtId="5" fontId="7" fillId="0" borderId="13" xfId="0" applyNumberFormat="1" applyFont="1" applyBorder="1" applyAlignment="1" applyProtection="1">
      <alignment horizontal="center" vertical="center" wrapText="1"/>
      <protection locked="0"/>
    </xf>
    <xf numFmtId="0" fontId="7" fillId="2" borderId="3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0" borderId="11" xfId="0" applyFont="1" applyBorder="1" applyAlignment="1" applyProtection="1">
      <alignment horizontal="left" vertical="center" wrapText="1"/>
      <protection locked="0"/>
    </xf>
    <xf numFmtId="0" fontId="7" fillId="0" borderId="12" xfId="0" applyFont="1" applyBorder="1" applyAlignment="1" applyProtection="1">
      <alignment horizontal="left" vertical="center" wrapText="1"/>
      <protection locked="0"/>
    </xf>
    <xf numFmtId="0" fontId="7" fillId="0" borderId="13" xfId="0" applyFont="1" applyBorder="1" applyAlignment="1" applyProtection="1">
      <alignment horizontal="left" vertical="center" wrapText="1"/>
      <protection locked="0"/>
    </xf>
    <xf numFmtId="5" fontId="7" fillId="0" borderId="11" xfId="0" applyNumberFormat="1" applyFont="1" applyBorder="1" applyAlignment="1" applyProtection="1">
      <alignment vertical="center" wrapText="1"/>
      <protection locked="0"/>
    </xf>
    <xf numFmtId="5" fontId="7" fillId="0" borderId="13" xfId="0" applyNumberFormat="1" applyFont="1" applyBorder="1" applyAlignment="1" applyProtection="1">
      <alignment vertical="center" wrapText="1"/>
      <protection locked="0"/>
    </xf>
    <xf numFmtId="5" fontId="7" fillId="0" borderId="11" xfId="0" applyNumberFormat="1" applyFont="1" applyBorder="1" applyAlignment="1" applyProtection="1">
      <alignment horizontal="right" vertical="center" wrapText="1"/>
      <protection locked="0"/>
    </xf>
    <xf numFmtId="5" fontId="7" fillId="0" borderId="13" xfId="0" applyNumberFormat="1" applyFont="1" applyBorder="1" applyAlignment="1" applyProtection="1">
      <alignment horizontal="right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0" fontId="13" fillId="0" borderId="13" xfId="0" applyFont="1" applyBorder="1" applyAlignment="1" applyProtection="1">
      <alignment horizontal="center" vertical="center" wrapText="1"/>
      <protection locked="0"/>
    </xf>
    <xf numFmtId="0" fontId="7" fillId="0" borderId="11" xfId="0" applyFont="1" applyBorder="1" applyAlignment="1" applyProtection="1">
      <alignment horizontal="center" vertical="center" textRotation="255" wrapText="1"/>
      <protection locked="0"/>
    </xf>
    <xf numFmtId="0" fontId="7" fillId="0" borderId="12" xfId="0" applyFont="1" applyBorder="1" applyAlignment="1" applyProtection="1">
      <alignment horizontal="center" vertical="center" textRotation="255" wrapText="1"/>
      <protection locked="0"/>
    </xf>
    <xf numFmtId="0" fontId="7" fillId="0" borderId="13" xfId="0" applyFont="1" applyBorder="1" applyAlignment="1" applyProtection="1">
      <alignment horizontal="center" vertical="center" textRotation="255" wrapText="1"/>
      <protection locked="0"/>
    </xf>
    <xf numFmtId="0" fontId="7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0" borderId="11" xfId="0" applyFont="1" applyBorder="1" applyAlignment="1" applyProtection="1">
      <alignment horizontal="center" vertical="center" wrapText="1"/>
      <protection locked="0"/>
    </xf>
    <xf numFmtId="0" fontId="7" fillId="0" borderId="12" xfId="0" applyFont="1" applyBorder="1" applyAlignment="1" applyProtection="1">
      <alignment horizontal="center" vertical="center" wrapText="1"/>
      <protection locked="0"/>
    </xf>
    <xf numFmtId="177" fontId="7" fillId="0" borderId="11" xfId="0" applyNumberFormat="1" applyFont="1" applyBorder="1" applyAlignment="1" applyProtection="1">
      <alignment horizontal="center" vertical="center" wrapText="1"/>
      <protection locked="0"/>
    </xf>
    <xf numFmtId="177" fontId="7" fillId="0" borderId="12" xfId="0" applyNumberFormat="1" applyFont="1" applyBorder="1" applyAlignment="1" applyProtection="1">
      <alignment horizontal="center" vertical="center" wrapText="1"/>
      <protection locked="0"/>
    </xf>
    <xf numFmtId="177" fontId="7" fillId="0" borderId="13" xfId="0" applyNumberFormat="1" applyFont="1" applyBorder="1" applyAlignment="1" applyProtection="1">
      <alignment horizontal="center" vertical="center" wrapText="1"/>
      <protection locked="0"/>
    </xf>
    <xf numFmtId="0" fontId="14" fillId="0" borderId="0" xfId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78" fontId="7" fillId="0" borderId="11" xfId="0" applyNumberFormat="1" applyFont="1" applyBorder="1" applyAlignment="1" applyProtection="1">
      <alignment horizontal="center" vertical="center" shrinkToFit="1"/>
      <protection locked="0"/>
    </xf>
    <xf numFmtId="178" fontId="7" fillId="0" borderId="12" xfId="0" applyNumberFormat="1" applyFont="1" applyBorder="1" applyAlignment="1" applyProtection="1">
      <alignment horizontal="center" vertical="center" shrinkToFit="1"/>
      <protection locked="0"/>
    </xf>
    <xf numFmtId="178" fontId="7" fillId="0" borderId="13" xfId="0" applyNumberFormat="1" applyFont="1" applyBorder="1" applyAlignment="1" applyProtection="1">
      <alignment horizontal="center" vertical="center" shrinkToFit="1"/>
      <protection locked="0"/>
    </xf>
    <xf numFmtId="177" fontId="1" fillId="0" borderId="11" xfId="0" applyNumberFormat="1" applyFont="1" applyBorder="1" applyAlignment="1" applyProtection="1">
      <alignment horizontal="center" vertical="center" wrapText="1"/>
      <protection locked="0"/>
    </xf>
    <xf numFmtId="177" fontId="1" fillId="0" borderId="13" xfId="0" applyNumberFormat="1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left" vertical="center"/>
      <protection locked="0"/>
    </xf>
    <xf numFmtId="178" fontId="7" fillId="0" borderId="11" xfId="0" applyNumberFormat="1" applyFont="1" applyBorder="1" applyAlignment="1" applyProtection="1">
      <alignment horizontal="center" vertical="center" wrapText="1"/>
      <protection locked="0"/>
    </xf>
    <xf numFmtId="178" fontId="7" fillId="0" borderId="12" xfId="0" applyNumberFormat="1" applyFont="1" applyBorder="1" applyAlignment="1" applyProtection="1">
      <alignment horizontal="center" vertical="center" wrapText="1"/>
      <protection locked="0"/>
    </xf>
    <xf numFmtId="178" fontId="7" fillId="0" borderId="13" xfId="0" applyNumberFormat="1" applyFont="1" applyBorder="1" applyAlignment="1" applyProtection="1">
      <alignment horizontal="center" vertical="center" wrapText="1"/>
      <protection locked="0"/>
    </xf>
    <xf numFmtId="0" fontId="7" fillId="2" borderId="3" xfId="0" applyFont="1" applyFill="1" applyBorder="1" applyAlignment="1">
      <alignment horizontal="center" vertical="center" textRotation="255" wrapText="1"/>
    </xf>
    <xf numFmtId="0" fontId="7" fillId="2" borderId="5" xfId="0" applyFont="1" applyFill="1" applyBorder="1" applyAlignment="1">
      <alignment horizontal="center" vertical="center" textRotation="255" wrapText="1"/>
    </xf>
    <xf numFmtId="0" fontId="7" fillId="2" borderId="6" xfId="0" applyFont="1" applyFill="1" applyBorder="1" applyAlignment="1">
      <alignment horizontal="center" vertical="center" textRotation="255" wrapText="1"/>
    </xf>
    <xf numFmtId="0" fontId="7" fillId="0" borderId="15" xfId="0" applyFont="1" applyBorder="1" applyAlignment="1" applyProtection="1">
      <alignment horizontal="left" vertical="center" wrapText="1"/>
      <protection locked="0"/>
    </xf>
    <xf numFmtId="0" fontId="7" fillId="0" borderId="16" xfId="0" applyFont="1" applyBorder="1" applyAlignment="1" applyProtection="1">
      <alignment horizontal="left" vertical="center" wrapText="1"/>
      <protection locked="0"/>
    </xf>
    <xf numFmtId="0" fontId="7" fillId="0" borderId="17" xfId="0" applyFont="1" applyBorder="1" applyAlignment="1" applyProtection="1">
      <alignment horizontal="left" vertical="center" wrapText="1"/>
      <protection locked="0"/>
    </xf>
    <xf numFmtId="0" fontId="7" fillId="0" borderId="18" xfId="0" applyFont="1" applyBorder="1" applyAlignment="1" applyProtection="1">
      <alignment horizontal="left" vertical="center" wrapText="1"/>
      <protection locked="0"/>
    </xf>
    <xf numFmtId="0" fontId="7" fillId="0" borderId="19" xfId="0" applyFont="1" applyBorder="1" applyAlignment="1" applyProtection="1">
      <alignment horizontal="left" vertical="center" wrapText="1"/>
      <protection locked="0"/>
    </xf>
    <xf numFmtId="0" fontId="7" fillId="0" borderId="20" xfId="0" applyFont="1" applyBorder="1" applyAlignment="1" applyProtection="1">
      <alignment horizontal="left" vertical="center" wrapText="1"/>
      <protection locked="0"/>
    </xf>
    <xf numFmtId="0" fontId="7" fillId="0" borderId="21" xfId="0" applyFont="1" applyBorder="1" applyAlignment="1" applyProtection="1">
      <alignment horizontal="left" vertical="center" wrapText="1"/>
      <protection locked="0"/>
    </xf>
    <xf numFmtId="0" fontId="7" fillId="0" borderId="22" xfId="0" applyFont="1" applyBorder="1" applyAlignment="1" applyProtection="1">
      <alignment horizontal="left" vertical="center" wrapText="1"/>
      <protection locked="0"/>
    </xf>
    <xf numFmtId="0" fontId="7" fillId="0" borderId="23" xfId="0" applyFont="1" applyBorder="1" applyAlignment="1" applyProtection="1">
      <alignment horizontal="left" vertical="center" wrapText="1"/>
      <protection locked="0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309880</xdr:colOff>
      <xdr:row>6</xdr:row>
      <xdr:rowOff>154305</xdr:rowOff>
    </xdr:from>
    <xdr:ext cx="2670603" cy="852028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49A4752F-316E-4029-B166-2F5E0E07BB9D}"/>
            </a:ext>
          </a:extLst>
        </xdr:cNvPr>
        <xdr:cNvSpPr txBox="1">
          <a:spLocks noChangeArrowheads="1"/>
        </xdr:cNvSpPr>
      </xdr:nvSpPr>
      <xdr:spPr bwMode="auto">
        <a:xfrm>
          <a:off x="3726180" y="1417955"/>
          <a:ext cx="2670603" cy="852028"/>
        </a:xfrm>
        <a:prstGeom prst="rect">
          <a:avLst/>
        </a:prstGeom>
        <a:noFill/>
        <a:ln>
          <a:noFill/>
        </a:ln>
      </xdr:spPr>
      <xdr:txBody>
        <a:bodyPr vertOverflow="clip" horzOverflow="clip" wrap="none" lIns="27432" tIns="18288" rIns="0" bIns="0" anchor="t">
          <a:spAutoFit/>
        </a:bodyPr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エイム株式会社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l" rtl="0">
            <a:lnSpc>
              <a:spcPts val="13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住所  愛知県名古屋市中村区名駅一丁目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1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番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1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号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l" rtl="0">
            <a:lnSpc>
              <a:spcPts val="13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　　　　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JP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タワー名古屋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25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階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TEL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    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052-589-0816</a:t>
          </a:r>
        </a:p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+mn-ea"/>
            </a:rPr>
            <a:t>FAX    052-589-0855</a:t>
          </a:r>
          <a:endParaRPr lang="ja-JP" altLang="en-US" sz="8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309880</xdr:colOff>
      <xdr:row>6</xdr:row>
      <xdr:rowOff>154305</xdr:rowOff>
    </xdr:from>
    <xdr:ext cx="2670603" cy="852028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3B4711BA-AB23-42D4-849C-433A69E6745A}"/>
            </a:ext>
          </a:extLst>
        </xdr:cNvPr>
        <xdr:cNvSpPr txBox="1">
          <a:spLocks noChangeArrowheads="1"/>
        </xdr:cNvSpPr>
      </xdr:nvSpPr>
      <xdr:spPr bwMode="auto">
        <a:xfrm>
          <a:off x="3716020" y="1411605"/>
          <a:ext cx="2670603" cy="852028"/>
        </a:xfrm>
        <a:prstGeom prst="rect">
          <a:avLst/>
        </a:prstGeom>
        <a:noFill/>
        <a:ln>
          <a:noFill/>
        </a:ln>
      </xdr:spPr>
      <xdr:txBody>
        <a:bodyPr vertOverflow="clip" horzOverflow="clip" wrap="none" lIns="27432" tIns="18288" rIns="0" bIns="0" anchor="t">
          <a:spAutoFit/>
        </a:bodyPr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エイム株式会社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l" rtl="0">
            <a:lnSpc>
              <a:spcPts val="13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住所  愛知県名古屋市中村区名駅一丁目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1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番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1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号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l" rtl="0">
            <a:lnSpc>
              <a:spcPts val="13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　　　　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JP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タワー名古屋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25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階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TEL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    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052-589-0816</a:t>
          </a:r>
        </a:p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+mn-ea"/>
            </a:rPr>
            <a:t>FAX    052-589-0855</a:t>
          </a:r>
          <a:endParaRPr lang="ja-JP" altLang="en-US" sz="8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309880</xdr:colOff>
      <xdr:row>6</xdr:row>
      <xdr:rowOff>154305</xdr:rowOff>
    </xdr:from>
    <xdr:ext cx="2670603" cy="852028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CE6BC8C0-6900-4609-ADD5-1D3865D7EF67}"/>
            </a:ext>
          </a:extLst>
        </xdr:cNvPr>
        <xdr:cNvSpPr txBox="1">
          <a:spLocks noChangeArrowheads="1"/>
        </xdr:cNvSpPr>
      </xdr:nvSpPr>
      <xdr:spPr bwMode="auto">
        <a:xfrm>
          <a:off x="3731260" y="1430655"/>
          <a:ext cx="2670603" cy="852028"/>
        </a:xfrm>
        <a:prstGeom prst="rect">
          <a:avLst/>
        </a:prstGeom>
        <a:noFill/>
        <a:ln>
          <a:noFill/>
        </a:ln>
      </xdr:spPr>
      <xdr:txBody>
        <a:bodyPr vertOverflow="clip" horzOverflow="clip" wrap="none" lIns="27432" tIns="18288" rIns="0" bIns="0" anchor="t">
          <a:spAutoFit/>
        </a:bodyPr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エイム株式会社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l" rtl="0">
            <a:lnSpc>
              <a:spcPts val="13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住所  愛知県名古屋市中村区名駅一丁目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1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番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1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号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l" rtl="0">
            <a:lnSpc>
              <a:spcPts val="13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　　　　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JP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タワー名古屋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25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階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TEL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    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052-589-0816</a:t>
          </a:r>
        </a:p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+mn-ea"/>
            </a:rPr>
            <a:t>FAX    052-589-0855</a:t>
          </a:r>
          <a:endParaRPr lang="ja-JP" altLang="en-US" sz="8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309880</xdr:colOff>
      <xdr:row>6</xdr:row>
      <xdr:rowOff>154305</xdr:rowOff>
    </xdr:from>
    <xdr:ext cx="2670603" cy="852028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7857DC68-5DFF-45E1-9762-920C819B15A5}"/>
            </a:ext>
          </a:extLst>
        </xdr:cNvPr>
        <xdr:cNvSpPr txBox="1">
          <a:spLocks noChangeArrowheads="1"/>
        </xdr:cNvSpPr>
      </xdr:nvSpPr>
      <xdr:spPr bwMode="auto">
        <a:xfrm>
          <a:off x="3731260" y="1430655"/>
          <a:ext cx="2670603" cy="852028"/>
        </a:xfrm>
        <a:prstGeom prst="rect">
          <a:avLst/>
        </a:prstGeom>
        <a:noFill/>
        <a:ln>
          <a:noFill/>
        </a:ln>
      </xdr:spPr>
      <xdr:txBody>
        <a:bodyPr vertOverflow="clip" horzOverflow="clip" wrap="none" lIns="27432" tIns="18288" rIns="0" bIns="0" anchor="t">
          <a:spAutoFit/>
        </a:bodyPr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エイム株式会社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l" rtl="0">
            <a:lnSpc>
              <a:spcPts val="13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住所  愛知県名古屋市中村区名駅一丁目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1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番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1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号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l" rtl="0">
            <a:lnSpc>
              <a:spcPts val="13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　　　　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JP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タワー名古屋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25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階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TEL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    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052-589-0816</a:t>
          </a:r>
        </a:p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+mn-ea"/>
            </a:rPr>
            <a:t>FAX    052-589-0855</a:t>
          </a:r>
          <a:endParaRPr lang="ja-JP" altLang="en-US" sz="8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309880</xdr:colOff>
      <xdr:row>6</xdr:row>
      <xdr:rowOff>154305</xdr:rowOff>
    </xdr:from>
    <xdr:ext cx="2670603" cy="852028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AFA76ECF-23D1-4280-B656-694B5F9DFD57}"/>
            </a:ext>
          </a:extLst>
        </xdr:cNvPr>
        <xdr:cNvSpPr txBox="1">
          <a:spLocks noChangeArrowheads="1"/>
        </xdr:cNvSpPr>
      </xdr:nvSpPr>
      <xdr:spPr bwMode="auto">
        <a:xfrm>
          <a:off x="3731260" y="1430655"/>
          <a:ext cx="2670603" cy="852028"/>
        </a:xfrm>
        <a:prstGeom prst="rect">
          <a:avLst/>
        </a:prstGeom>
        <a:noFill/>
        <a:ln>
          <a:noFill/>
        </a:ln>
      </xdr:spPr>
      <xdr:txBody>
        <a:bodyPr vertOverflow="clip" horzOverflow="clip" wrap="none" lIns="27432" tIns="18288" rIns="0" bIns="0" anchor="t">
          <a:spAutoFit/>
        </a:bodyPr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エイム株式会社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l" rtl="0">
            <a:lnSpc>
              <a:spcPts val="13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住所  愛知県名古屋市中村区名駅一丁目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1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番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1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号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l" rtl="0">
            <a:lnSpc>
              <a:spcPts val="13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　　　　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JP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タワー名古屋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25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階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TEL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    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052-589-0816</a:t>
          </a:r>
        </a:p>
        <a:p>
          <a:pPr algn="l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+mn-ea"/>
            </a:rPr>
            <a:t>FAX    052-589-0855</a:t>
          </a:r>
          <a:endParaRPr lang="ja-JP" altLang="en-US" sz="8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yuki_hattori@aim-info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yuki_hattori@aim-info.co.jp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yuki_hattori@aim-info.co.jp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yuki_hattori@aim-info.co.jp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yuki_hattori@aim-info.co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480BD-F96C-409D-ADE4-9E44B541B961}">
  <dimension ref="A1:AK43"/>
  <sheetViews>
    <sheetView showGridLines="0" view="pageBreakPreview" zoomScaleNormal="100" zoomScaleSheetLayoutView="100" workbookViewId="0">
      <selection activeCell="F8" sqref="F8"/>
    </sheetView>
  </sheetViews>
  <sheetFormatPr defaultColWidth="4.59765625" defaultRowHeight="13.2" x14ac:dyDescent="0.45"/>
  <cols>
    <col min="1" max="1" width="3.59765625" style="2" customWidth="1"/>
    <col min="2" max="2" width="3.09765625" style="2" bestFit="1" customWidth="1"/>
    <col min="3" max="4" width="4.59765625" style="2"/>
    <col min="5" max="5" width="9.09765625" style="2" customWidth="1"/>
    <col min="6" max="6" width="16.09765625" style="2" customWidth="1"/>
    <col min="7" max="7" width="3.59765625" style="2" customWidth="1"/>
    <col min="8" max="9" width="6.09765625" style="2" customWidth="1"/>
    <col min="10" max="10" width="13" style="2" customWidth="1"/>
    <col min="11" max="11" width="7.296875" style="2" customWidth="1"/>
    <col min="12" max="12" width="7.09765625" style="2" customWidth="1"/>
    <col min="13" max="13" width="4.59765625" style="2"/>
    <col min="14" max="14" width="8.296875" style="2" bestFit="1" customWidth="1"/>
    <col min="15" max="16384" width="4.59765625" style="2"/>
  </cols>
  <sheetData>
    <row r="1" spans="1:37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33" t="s">
        <v>49</v>
      </c>
      <c r="L1" s="34"/>
    </row>
    <row r="2" spans="1:37" ht="21" x14ac:dyDescent="0.45">
      <c r="A2" s="35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37" ht="13.5" customHeight="1" x14ac:dyDescent="0.45">
      <c r="A3" s="3"/>
      <c r="B3" s="3"/>
      <c r="C3" s="3"/>
      <c r="D3" s="3"/>
      <c r="E3" s="3"/>
      <c r="F3" s="3"/>
      <c r="G3" s="3"/>
      <c r="H3" s="3"/>
      <c r="I3" s="3"/>
      <c r="J3" s="3"/>
      <c r="K3" s="36">
        <v>46184</v>
      </c>
      <c r="L3" s="36"/>
    </row>
    <row r="4" spans="1:37" x14ac:dyDescent="0.45">
      <c r="A4" s="37" t="s">
        <v>1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37" ht="19.5" customHeight="1" x14ac:dyDescent="0.45">
      <c r="A5" s="38"/>
      <c r="B5" s="38"/>
      <c r="C5" s="38"/>
      <c r="D5" s="38"/>
      <c r="E5" s="38"/>
      <c r="F5" s="38"/>
      <c r="G5" s="38"/>
    </row>
    <row r="6" spans="1:37" ht="19.5" customHeight="1" x14ac:dyDescent="0.45">
      <c r="A6" s="38" t="s">
        <v>2</v>
      </c>
      <c r="B6" s="38"/>
      <c r="C6" s="38"/>
      <c r="D6" s="38"/>
      <c r="E6" s="38"/>
      <c r="F6" s="38"/>
      <c r="G6" s="38"/>
    </row>
    <row r="7" spans="1:37" ht="36.75" customHeight="1" x14ac:dyDescent="0.45">
      <c r="A7" s="4" t="s">
        <v>58</v>
      </c>
      <c r="B7" s="4"/>
      <c r="D7" s="4"/>
      <c r="E7" s="3"/>
      <c r="F7" s="3"/>
      <c r="G7" s="3"/>
      <c r="H7" s="3"/>
      <c r="I7" s="3"/>
      <c r="J7" s="3"/>
      <c r="K7" s="3"/>
      <c r="L7" s="3"/>
    </row>
    <row r="8" spans="1:37" ht="36.75" customHeight="1" x14ac:dyDescent="0.45"/>
    <row r="9" spans="1:37" ht="35.25" customHeight="1" x14ac:dyDescent="0.45">
      <c r="A9" s="5" t="s">
        <v>4</v>
      </c>
    </row>
    <row r="10" spans="1:37" ht="14.25" customHeight="1" x14ac:dyDescent="0.45">
      <c r="A10" s="5"/>
      <c r="K10" s="6" t="s">
        <v>5</v>
      </c>
      <c r="L10" s="6" t="s">
        <v>6</v>
      </c>
    </row>
    <row r="11" spans="1:37" ht="8.5500000000000007" customHeight="1" x14ac:dyDescent="0.45">
      <c r="A11" s="5"/>
      <c r="K11" s="39"/>
      <c r="L11" s="39"/>
    </row>
    <row r="12" spans="1:37" ht="18" customHeight="1" x14ac:dyDescent="0.45">
      <c r="A12" s="40" t="s">
        <v>7</v>
      </c>
      <c r="B12" s="40"/>
      <c r="C12" s="40"/>
      <c r="D12" s="40"/>
      <c r="E12" s="40"/>
      <c r="F12" s="42">
        <f>K30</f>
        <v>2640000</v>
      </c>
      <c r="G12" s="42"/>
      <c r="H12" s="44" t="s">
        <v>8</v>
      </c>
      <c r="I12" s="1"/>
      <c r="J12" s="1"/>
      <c r="K12" s="39"/>
      <c r="L12" s="39"/>
    </row>
    <row r="13" spans="1:37" ht="13.5" customHeight="1" thickBot="1" x14ac:dyDescent="0.5">
      <c r="A13" s="41"/>
      <c r="B13" s="41"/>
      <c r="C13" s="41"/>
      <c r="D13" s="41"/>
      <c r="E13" s="41"/>
      <c r="F13" s="43"/>
      <c r="G13" s="43"/>
      <c r="H13" s="44"/>
      <c r="J13" s="1"/>
      <c r="K13" s="39"/>
      <c r="L13" s="39"/>
    </row>
    <row r="14" spans="1:37" ht="13.5" customHeight="1" x14ac:dyDescent="0.45">
      <c r="A14" s="7"/>
      <c r="B14" s="7"/>
      <c r="C14" s="7"/>
      <c r="D14" s="7"/>
      <c r="E14" s="7"/>
      <c r="F14" s="8"/>
      <c r="G14" s="8"/>
      <c r="H14" s="8"/>
      <c r="I14" s="1"/>
      <c r="J14" s="1"/>
    </row>
    <row r="15" spans="1:37" ht="11.25" customHeight="1" x14ac:dyDescent="0.4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37" ht="32.25" customHeight="1" x14ac:dyDescent="0.45">
      <c r="A16" s="31" t="s">
        <v>9</v>
      </c>
      <c r="B16" s="31"/>
      <c r="C16" s="31"/>
      <c r="D16" s="31"/>
      <c r="E16" s="31"/>
      <c r="F16" s="32" t="s">
        <v>10</v>
      </c>
      <c r="G16" s="32"/>
      <c r="H16" s="32"/>
      <c r="I16" s="32"/>
      <c r="J16" s="32"/>
      <c r="K16" s="32"/>
      <c r="L16" s="32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</row>
    <row r="17" spans="1:37" x14ac:dyDescent="0.45">
      <c r="A17" s="10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</row>
    <row r="18" spans="1:37" ht="13.5" customHeight="1" x14ac:dyDescent="0.45">
      <c r="A18" s="47" t="s">
        <v>11</v>
      </c>
      <c r="B18" s="49" t="s">
        <v>12</v>
      </c>
      <c r="C18" s="50"/>
      <c r="D18" s="50"/>
      <c r="E18" s="50"/>
      <c r="F18" s="50"/>
      <c r="G18" s="50"/>
      <c r="H18" s="47" t="s">
        <v>13</v>
      </c>
      <c r="I18" s="47" t="s">
        <v>14</v>
      </c>
      <c r="J18" s="49" t="s">
        <v>15</v>
      </c>
      <c r="K18" s="49" t="s">
        <v>16</v>
      </c>
      <c r="L18" s="54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</row>
    <row r="19" spans="1:37" ht="13.5" customHeight="1" x14ac:dyDescent="0.45">
      <c r="A19" s="48"/>
      <c r="B19" s="51"/>
      <c r="C19" s="52"/>
      <c r="D19" s="52"/>
      <c r="E19" s="52"/>
      <c r="F19" s="52"/>
      <c r="G19" s="52"/>
      <c r="H19" s="53"/>
      <c r="I19" s="53"/>
      <c r="J19" s="51"/>
      <c r="K19" s="51"/>
      <c r="L19" s="55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</row>
    <row r="20" spans="1:37" ht="18.75" customHeight="1" x14ac:dyDescent="0.45">
      <c r="A20" s="11">
        <v>1</v>
      </c>
      <c r="B20" s="56" t="s">
        <v>17</v>
      </c>
      <c r="C20" s="57"/>
      <c r="D20" s="57"/>
      <c r="E20" s="57"/>
      <c r="F20" s="57"/>
      <c r="G20" s="58"/>
      <c r="H20" s="11">
        <v>3</v>
      </c>
      <c r="I20" s="12" t="s">
        <v>18</v>
      </c>
      <c r="J20" s="13">
        <v>880000</v>
      </c>
      <c r="K20" s="59">
        <f>SUM(J20*H20)</f>
        <v>2640000</v>
      </c>
      <c r="L20" s="60"/>
      <c r="O20" s="14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</row>
    <row r="21" spans="1:37" ht="18.75" customHeight="1" x14ac:dyDescent="0.45">
      <c r="A21" s="11"/>
      <c r="B21" s="56"/>
      <c r="C21" s="57"/>
      <c r="D21" s="57"/>
      <c r="E21" s="57"/>
      <c r="F21" s="57"/>
      <c r="G21" s="58"/>
      <c r="H21" s="30"/>
      <c r="I21" s="12"/>
      <c r="J21" s="15"/>
      <c r="K21" s="59"/>
      <c r="L21" s="60"/>
      <c r="O21" s="14"/>
    </row>
    <row r="22" spans="1:37" ht="18.75" customHeight="1" x14ac:dyDescent="0.45">
      <c r="A22" s="11"/>
      <c r="B22" s="18"/>
      <c r="C22" s="19"/>
      <c r="D22" s="19"/>
      <c r="E22" s="19"/>
      <c r="F22" s="19"/>
      <c r="G22" s="19"/>
      <c r="H22" s="29"/>
      <c r="I22" s="20"/>
      <c r="J22" s="15"/>
      <c r="K22" s="16"/>
      <c r="L22" s="17"/>
    </row>
    <row r="23" spans="1:37" ht="18.75" customHeight="1" x14ac:dyDescent="0.45">
      <c r="A23" s="11"/>
      <c r="B23" s="18"/>
      <c r="C23" s="19"/>
      <c r="D23" s="19"/>
      <c r="E23" s="19"/>
      <c r="F23" s="19"/>
      <c r="G23" s="19"/>
      <c r="H23" s="29"/>
      <c r="I23" s="21"/>
      <c r="J23" s="22"/>
      <c r="K23" s="16"/>
      <c r="L23" s="17"/>
    </row>
    <row r="24" spans="1:37" ht="18.75" customHeight="1" x14ac:dyDescent="0.45">
      <c r="A24" s="11"/>
      <c r="B24" s="18"/>
      <c r="C24" s="19"/>
      <c r="D24" s="19"/>
      <c r="E24" s="19"/>
      <c r="F24" s="19"/>
      <c r="G24" s="19"/>
      <c r="H24" s="29"/>
      <c r="I24" s="21"/>
      <c r="J24" s="13"/>
      <c r="K24" s="61"/>
      <c r="L24" s="62"/>
    </row>
    <row r="25" spans="1:37" ht="18.75" customHeight="1" x14ac:dyDescent="0.45">
      <c r="A25" s="11"/>
      <c r="B25" s="25"/>
      <c r="C25" s="26"/>
      <c r="D25" s="26"/>
      <c r="E25" s="26"/>
      <c r="F25" s="26"/>
      <c r="G25" s="26"/>
      <c r="H25" s="28"/>
      <c r="I25" s="21"/>
      <c r="J25" s="13"/>
      <c r="K25" s="45"/>
      <c r="L25" s="46"/>
    </row>
    <row r="26" spans="1:37" ht="18.75" customHeight="1" x14ac:dyDescent="0.45">
      <c r="A26" s="11"/>
      <c r="B26" s="25"/>
      <c r="C26" s="26"/>
      <c r="D26" s="26"/>
      <c r="E26" s="26"/>
      <c r="F26" s="26"/>
      <c r="G26" s="26"/>
      <c r="H26" s="28"/>
      <c r="I26" s="21"/>
      <c r="J26" s="13"/>
      <c r="K26" s="23"/>
      <c r="L26" s="24"/>
    </row>
    <row r="27" spans="1:37" ht="18.75" customHeight="1" x14ac:dyDescent="0.45">
      <c r="A27" s="11"/>
      <c r="B27" s="25"/>
      <c r="C27" s="26"/>
      <c r="D27" s="26"/>
      <c r="E27" s="26"/>
      <c r="F27" s="26"/>
      <c r="G27" s="26"/>
      <c r="H27" s="28"/>
      <c r="I27" s="21"/>
      <c r="J27" s="13"/>
      <c r="K27" s="23"/>
      <c r="L27" s="24"/>
    </row>
    <row r="28" spans="1:37" ht="18.75" customHeight="1" x14ac:dyDescent="0.45">
      <c r="A28" s="11"/>
      <c r="B28" s="25"/>
      <c r="C28" s="26"/>
      <c r="D28" s="26"/>
      <c r="E28" s="26"/>
      <c r="F28" s="26"/>
      <c r="G28" s="26"/>
      <c r="H28" s="28"/>
      <c r="I28" s="21"/>
      <c r="J28" s="13"/>
      <c r="K28" s="61"/>
      <c r="L28" s="62"/>
    </row>
    <row r="29" spans="1:37" ht="18.75" customHeight="1" x14ac:dyDescent="0.45">
      <c r="A29" s="11"/>
      <c r="B29" s="25"/>
      <c r="C29" s="26"/>
      <c r="D29" s="26"/>
      <c r="E29" s="26"/>
      <c r="F29" s="26"/>
      <c r="G29" s="26"/>
      <c r="H29" s="28"/>
      <c r="I29" s="21"/>
      <c r="J29" s="13"/>
      <c r="K29" s="23"/>
      <c r="L29" s="24"/>
    </row>
    <row r="30" spans="1:37" ht="18.75" customHeight="1" x14ac:dyDescent="0.45">
      <c r="A30" s="11"/>
      <c r="B30" s="63" t="s">
        <v>19</v>
      </c>
      <c r="C30" s="64"/>
      <c r="D30" s="64"/>
      <c r="E30" s="64"/>
      <c r="F30" s="64"/>
      <c r="G30" s="64"/>
      <c r="H30" s="64"/>
      <c r="I30" s="64"/>
      <c r="J30" s="65"/>
      <c r="K30" s="59">
        <f>SUM(K20:L29)</f>
        <v>2640000</v>
      </c>
      <c r="L30" s="60"/>
      <c r="M30" s="27"/>
    </row>
    <row r="31" spans="1:37" ht="7.5" customHeight="1" x14ac:dyDescent="0.45">
      <c r="A31" s="66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8"/>
      <c r="M31" s="27"/>
    </row>
    <row r="32" spans="1:37" ht="26.1" customHeight="1" x14ac:dyDescent="0.45">
      <c r="A32" s="69" t="s">
        <v>20</v>
      </c>
      <c r="B32" s="70"/>
      <c r="C32" s="70"/>
      <c r="D32" s="71"/>
      <c r="E32" s="72" t="s">
        <v>33</v>
      </c>
      <c r="F32" s="73"/>
      <c r="G32" s="49" t="s">
        <v>21</v>
      </c>
      <c r="H32" s="50"/>
      <c r="I32" s="54"/>
      <c r="J32" s="74" t="s">
        <v>22</v>
      </c>
      <c r="K32" s="75"/>
      <c r="L32" s="76"/>
    </row>
    <row r="33" spans="1:12" ht="26.25" customHeight="1" x14ac:dyDescent="0.45">
      <c r="A33" s="69" t="s">
        <v>23</v>
      </c>
      <c r="B33" s="70"/>
      <c r="C33" s="70"/>
      <c r="D33" s="71"/>
      <c r="E33" s="77" t="s">
        <v>32</v>
      </c>
      <c r="F33" s="78"/>
      <c r="G33" s="69" t="s">
        <v>24</v>
      </c>
      <c r="H33" s="70"/>
      <c r="I33" s="71"/>
      <c r="J33" s="79" t="s">
        <v>52</v>
      </c>
      <c r="K33" s="80"/>
      <c r="L33" s="81"/>
    </row>
    <row r="34" spans="1:12" ht="26.25" customHeight="1" x14ac:dyDescent="0.45">
      <c r="A34" s="69" t="s">
        <v>34</v>
      </c>
      <c r="B34" s="70"/>
      <c r="C34" s="70"/>
      <c r="D34" s="71"/>
      <c r="E34" s="82" t="s">
        <v>50</v>
      </c>
      <c r="F34" s="83"/>
      <c r="G34" s="69" t="s">
        <v>26</v>
      </c>
      <c r="H34" s="70"/>
      <c r="I34" s="71"/>
      <c r="J34" s="79" t="s">
        <v>51</v>
      </c>
      <c r="K34" s="80"/>
      <c r="L34" s="81"/>
    </row>
    <row r="35" spans="1:12" ht="26.25" customHeight="1" x14ac:dyDescent="0.45">
      <c r="A35" s="69" t="s">
        <v>27</v>
      </c>
      <c r="B35" s="70"/>
      <c r="C35" s="70"/>
      <c r="D35" s="71"/>
      <c r="E35" s="82" t="s">
        <v>25</v>
      </c>
      <c r="F35" s="83"/>
      <c r="G35" s="69" t="s">
        <v>28</v>
      </c>
      <c r="H35" s="70"/>
      <c r="I35" s="71"/>
      <c r="J35" s="85">
        <v>46213</v>
      </c>
      <c r="K35" s="86"/>
      <c r="L35" s="87"/>
    </row>
    <row r="36" spans="1:12" ht="18.75" customHeight="1" x14ac:dyDescent="0.45">
      <c r="A36" s="88" t="s">
        <v>29</v>
      </c>
      <c r="B36" s="91" t="s">
        <v>53</v>
      </c>
      <c r="C36" s="92"/>
      <c r="D36" s="92"/>
      <c r="E36" s="92"/>
      <c r="F36" s="92"/>
      <c r="G36" s="92"/>
      <c r="H36" s="92"/>
      <c r="I36" s="92"/>
      <c r="J36" s="92"/>
      <c r="K36" s="92"/>
      <c r="L36" s="93"/>
    </row>
    <row r="37" spans="1:12" ht="18.75" customHeight="1" x14ac:dyDescent="0.45">
      <c r="A37" s="89"/>
      <c r="B37" s="94" t="s">
        <v>35</v>
      </c>
      <c r="C37" s="95"/>
      <c r="D37" s="95"/>
      <c r="E37" s="95"/>
      <c r="F37" s="95"/>
      <c r="G37" s="95"/>
      <c r="H37" s="95"/>
      <c r="I37" s="95"/>
      <c r="J37" s="95"/>
      <c r="K37" s="95"/>
      <c r="L37" s="96"/>
    </row>
    <row r="38" spans="1:12" ht="18.75" customHeight="1" x14ac:dyDescent="0.45">
      <c r="A38" s="89"/>
      <c r="B38" s="94"/>
      <c r="C38" s="95"/>
      <c r="D38" s="95"/>
      <c r="E38" s="95"/>
      <c r="F38" s="95"/>
      <c r="G38" s="95"/>
      <c r="H38" s="95"/>
      <c r="I38" s="95"/>
      <c r="J38" s="95"/>
      <c r="K38" s="95"/>
      <c r="L38" s="96"/>
    </row>
    <row r="39" spans="1:12" ht="18.75" customHeight="1" x14ac:dyDescent="0.45">
      <c r="A39" s="89"/>
      <c r="B39" s="94"/>
      <c r="C39" s="95"/>
      <c r="D39" s="95"/>
      <c r="E39" s="95"/>
      <c r="F39" s="95"/>
      <c r="G39" s="95"/>
      <c r="H39" s="95"/>
      <c r="I39" s="95"/>
      <c r="J39" s="95"/>
      <c r="K39" s="95"/>
      <c r="L39" s="96"/>
    </row>
    <row r="40" spans="1:12" ht="18.75" customHeight="1" x14ac:dyDescent="0.45">
      <c r="A40" s="90"/>
      <c r="B40" s="97"/>
      <c r="C40" s="98"/>
      <c r="D40" s="98"/>
      <c r="E40" s="98"/>
      <c r="F40" s="98"/>
      <c r="G40" s="98"/>
      <c r="H40" s="98"/>
      <c r="I40" s="98"/>
      <c r="J40" s="98"/>
      <c r="K40" s="98"/>
      <c r="L40" s="99"/>
    </row>
    <row r="41" spans="1:12" ht="10.5" customHeight="1" x14ac:dyDescent="0.45"/>
    <row r="42" spans="1:12" ht="15.75" customHeight="1" x14ac:dyDescent="0.45">
      <c r="A42" s="84" t="s">
        <v>30</v>
      </c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</row>
    <row r="43" spans="1:12" ht="15.75" customHeight="1" x14ac:dyDescent="0.45">
      <c r="A43" s="84" t="s">
        <v>31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</row>
  </sheetData>
  <protectedRanges>
    <protectedRange sqref="F12 F16 K22:L30 A20:A30 B22:F30 K20:K21 B38:L40 G20:J30 B20:E21" name="範囲1"/>
    <protectedRange sqref="E32:F32 E34:F35 J32:L32" name="範囲1_3"/>
    <protectedRange sqref="E33:F33" name="範囲1_2_1"/>
    <protectedRange sqref="J33:L35" name="範囲1_5"/>
    <protectedRange sqref="B36:L36" name="範囲1_3_2"/>
    <protectedRange sqref="B37:L37" name="範囲1_1_1"/>
  </protectedRanges>
  <mergeCells count="53">
    <mergeCell ref="A42:L42"/>
    <mergeCell ref="A43:L43"/>
    <mergeCell ref="A35:D35"/>
    <mergeCell ref="E35:F35"/>
    <mergeCell ref="G35:I35"/>
    <mergeCell ref="J35:L35"/>
    <mergeCell ref="A36:A40"/>
    <mergeCell ref="B36:L36"/>
    <mergeCell ref="B37:L37"/>
    <mergeCell ref="B38:L38"/>
    <mergeCell ref="B39:L39"/>
    <mergeCell ref="B40:L40"/>
    <mergeCell ref="A33:D33"/>
    <mergeCell ref="E33:F33"/>
    <mergeCell ref="G33:I33"/>
    <mergeCell ref="J33:L33"/>
    <mergeCell ref="A34:D34"/>
    <mergeCell ref="E34:F34"/>
    <mergeCell ref="G34:I34"/>
    <mergeCell ref="J34:L34"/>
    <mergeCell ref="K28:L28"/>
    <mergeCell ref="B30:J30"/>
    <mergeCell ref="K30:L30"/>
    <mergeCell ref="A31:L31"/>
    <mergeCell ref="A32:D32"/>
    <mergeCell ref="E32:F32"/>
    <mergeCell ref="G32:I32"/>
    <mergeCell ref="J32:L32"/>
    <mergeCell ref="K25:L25"/>
    <mergeCell ref="A18:A19"/>
    <mergeCell ref="B18:G19"/>
    <mergeCell ref="H18:H19"/>
    <mergeCell ref="I18:I19"/>
    <mergeCell ref="J18:J19"/>
    <mergeCell ref="K18:L19"/>
    <mergeCell ref="B20:G20"/>
    <mergeCell ref="K20:L20"/>
    <mergeCell ref="B21:G21"/>
    <mergeCell ref="K21:L21"/>
    <mergeCell ref="K24:L24"/>
    <mergeCell ref="A16:E16"/>
    <mergeCell ref="F16:L16"/>
    <mergeCell ref="K1:L1"/>
    <mergeCell ref="A2:L2"/>
    <mergeCell ref="K3:L3"/>
    <mergeCell ref="A4:L4"/>
    <mergeCell ref="A5:G5"/>
    <mergeCell ref="A6:G6"/>
    <mergeCell ref="K11:K13"/>
    <mergeCell ref="L11:L13"/>
    <mergeCell ref="A12:E13"/>
    <mergeCell ref="F12:G13"/>
    <mergeCell ref="H12:H13"/>
  </mergeCells>
  <phoneticPr fontId="2"/>
  <hyperlinks>
    <hyperlink ref="E33" r:id="rId1" display="yuki_hattori@aim-info.co.jp" xr:uid="{07ADDFC9-37D1-4823-9F99-59DBD75EF5AD}"/>
  </hyperlinks>
  <printOptions horizontalCentered="1"/>
  <pageMargins left="0" right="0" top="0.15748031496062992" bottom="0.15748031496062992" header="0.31496062992125984" footer="0.31496062992125984"/>
  <pageSetup paperSize="9" scale="97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316AD-BC8B-4C94-86BB-22393D6716B0}">
  <dimension ref="A1:AK43"/>
  <sheetViews>
    <sheetView showGridLines="0" view="pageBreakPreview" zoomScaleNormal="100" zoomScaleSheetLayoutView="100" workbookViewId="0">
      <selection activeCell="F10" sqref="F10"/>
    </sheetView>
  </sheetViews>
  <sheetFormatPr defaultColWidth="4.59765625" defaultRowHeight="13.2" x14ac:dyDescent="0.45"/>
  <cols>
    <col min="1" max="1" width="3.59765625" style="2" customWidth="1"/>
    <col min="2" max="2" width="3.09765625" style="2" bestFit="1" customWidth="1"/>
    <col min="3" max="4" width="4.59765625" style="2"/>
    <col min="5" max="5" width="9.09765625" style="2" customWidth="1"/>
    <col min="6" max="6" width="16.09765625" style="2" customWidth="1"/>
    <col min="7" max="7" width="3.59765625" style="2" customWidth="1"/>
    <col min="8" max="9" width="6.09765625" style="2" customWidth="1"/>
    <col min="10" max="10" width="13" style="2" customWidth="1"/>
    <col min="11" max="11" width="7.296875" style="2" customWidth="1"/>
    <col min="12" max="12" width="7.09765625" style="2" customWidth="1"/>
    <col min="13" max="13" width="4.59765625" style="2"/>
    <col min="14" max="14" width="8.296875" style="2" bestFit="1" customWidth="1"/>
    <col min="15" max="16384" width="4.59765625" style="2"/>
  </cols>
  <sheetData>
    <row r="1" spans="1:37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33" t="s">
        <v>48</v>
      </c>
      <c r="L1" s="34"/>
    </row>
    <row r="2" spans="1:37" ht="21" x14ac:dyDescent="0.45">
      <c r="A2" s="35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37" ht="13.5" customHeight="1" x14ac:dyDescent="0.45">
      <c r="A3" s="3"/>
      <c r="B3" s="3"/>
      <c r="C3" s="3"/>
      <c r="D3" s="3"/>
      <c r="E3" s="3"/>
      <c r="F3" s="3"/>
      <c r="G3" s="3"/>
      <c r="H3" s="3"/>
      <c r="I3" s="3"/>
      <c r="J3" s="3"/>
      <c r="K3" s="36">
        <v>46184</v>
      </c>
      <c r="L3" s="36"/>
    </row>
    <row r="4" spans="1:37" x14ac:dyDescent="0.45">
      <c r="A4" s="37" t="s">
        <v>1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37" ht="19.5" customHeight="1" x14ac:dyDescent="0.45">
      <c r="A5" s="38"/>
      <c r="B5" s="38"/>
      <c r="C5" s="38"/>
      <c r="D5" s="38"/>
      <c r="E5" s="38"/>
      <c r="F5" s="38"/>
      <c r="G5" s="38"/>
    </row>
    <row r="6" spans="1:37" ht="19.5" customHeight="1" x14ac:dyDescent="0.45">
      <c r="A6" s="38" t="s">
        <v>2</v>
      </c>
      <c r="B6" s="38"/>
      <c r="C6" s="38"/>
      <c r="D6" s="38"/>
      <c r="E6" s="38"/>
      <c r="F6" s="38"/>
      <c r="G6" s="38"/>
    </row>
    <row r="7" spans="1:37" ht="36.75" customHeight="1" x14ac:dyDescent="0.45">
      <c r="A7" s="4" t="s">
        <v>58</v>
      </c>
      <c r="D7" s="4"/>
      <c r="E7" s="3"/>
      <c r="F7" s="3"/>
      <c r="G7" s="3"/>
      <c r="H7" s="3"/>
      <c r="I7" s="3"/>
      <c r="J7" s="3"/>
      <c r="K7" s="3"/>
      <c r="L7" s="3"/>
    </row>
    <row r="8" spans="1:37" ht="36.75" customHeight="1" x14ac:dyDescent="0.45"/>
    <row r="9" spans="1:37" ht="35.25" customHeight="1" x14ac:dyDescent="0.45">
      <c r="A9" s="5" t="s">
        <v>4</v>
      </c>
    </row>
    <row r="10" spans="1:37" ht="14.25" customHeight="1" x14ac:dyDescent="0.45">
      <c r="A10" s="5"/>
      <c r="K10" s="6" t="s">
        <v>5</v>
      </c>
      <c r="L10" s="6" t="s">
        <v>6</v>
      </c>
    </row>
    <row r="11" spans="1:37" ht="8.5500000000000007" customHeight="1" x14ac:dyDescent="0.45">
      <c r="A11" s="5"/>
      <c r="K11" s="39"/>
      <c r="L11" s="39"/>
    </row>
    <row r="12" spans="1:37" ht="18" customHeight="1" x14ac:dyDescent="0.45">
      <c r="A12" s="40" t="s">
        <v>7</v>
      </c>
      <c r="B12" s="40"/>
      <c r="C12" s="40"/>
      <c r="D12" s="40"/>
      <c r="E12" s="40"/>
      <c r="F12" s="42">
        <f>K30</f>
        <v>2550000</v>
      </c>
      <c r="G12" s="42"/>
      <c r="H12" s="44" t="s">
        <v>8</v>
      </c>
      <c r="I12" s="1"/>
      <c r="J12" s="1"/>
      <c r="K12" s="39"/>
      <c r="L12" s="39"/>
    </row>
    <row r="13" spans="1:37" ht="13.5" customHeight="1" thickBot="1" x14ac:dyDescent="0.5">
      <c r="A13" s="41"/>
      <c r="B13" s="41"/>
      <c r="C13" s="41"/>
      <c r="D13" s="41"/>
      <c r="E13" s="41"/>
      <c r="F13" s="43"/>
      <c r="G13" s="43"/>
      <c r="H13" s="44"/>
      <c r="J13" s="1"/>
      <c r="K13" s="39"/>
      <c r="L13" s="39"/>
    </row>
    <row r="14" spans="1:37" ht="13.5" customHeight="1" x14ac:dyDescent="0.45">
      <c r="A14" s="7"/>
      <c r="B14" s="7"/>
      <c r="C14" s="7"/>
      <c r="D14" s="7"/>
      <c r="E14" s="7"/>
      <c r="F14" s="8"/>
      <c r="G14" s="8"/>
      <c r="H14" s="8"/>
      <c r="I14" s="1"/>
      <c r="J14" s="1"/>
    </row>
    <row r="15" spans="1:37" ht="11.25" customHeight="1" x14ac:dyDescent="0.4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37" ht="32.25" customHeight="1" x14ac:dyDescent="0.45">
      <c r="A16" s="31" t="s">
        <v>9</v>
      </c>
      <c r="B16" s="31"/>
      <c r="C16" s="31"/>
      <c r="D16" s="31"/>
      <c r="E16" s="31"/>
      <c r="F16" s="32" t="s">
        <v>10</v>
      </c>
      <c r="G16" s="32"/>
      <c r="H16" s="32"/>
      <c r="I16" s="32"/>
      <c r="J16" s="32"/>
      <c r="K16" s="32"/>
      <c r="L16" s="32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</row>
    <row r="17" spans="1:37" x14ac:dyDescent="0.45">
      <c r="A17" s="10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</row>
    <row r="18" spans="1:37" ht="13.5" customHeight="1" x14ac:dyDescent="0.45">
      <c r="A18" s="47" t="s">
        <v>11</v>
      </c>
      <c r="B18" s="49" t="s">
        <v>12</v>
      </c>
      <c r="C18" s="50"/>
      <c r="D18" s="50"/>
      <c r="E18" s="50"/>
      <c r="F18" s="50"/>
      <c r="G18" s="50"/>
      <c r="H18" s="47" t="s">
        <v>13</v>
      </c>
      <c r="I18" s="47" t="s">
        <v>14</v>
      </c>
      <c r="J18" s="49" t="s">
        <v>15</v>
      </c>
      <c r="K18" s="49" t="s">
        <v>16</v>
      </c>
      <c r="L18" s="54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</row>
    <row r="19" spans="1:37" ht="13.5" customHeight="1" x14ac:dyDescent="0.45">
      <c r="A19" s="48"/>
      <c r="B19" s="51"/>
      <c r="C19" s="52"/>
      <c r="D19" s="52"/>
      <c r="E19" s="52"/>
      <c r="F19" s="52"/>
      <c r="G19" s="52"/>
      <c r="H19" s="53"/>
      <c r="I19" s="53"/>
      <c r="J19" s="51"/>
      <c r="K19" s="51"/>
      <c r="L19" s="55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</row>
    <row r="20" spans="1:37" ht="18.75" customHeight="1" x14ac:dyDescent="0.45">
      <c r="A20" s="11">
        <v>1</v>
      </c>
      <c r="B20" s="56" t="s">
        <v>38</v>
      </c>
      <c r="C20" s="57"/>
      <c r="D20" s="57"/>
      <c r="E20" s="57"/>
      <c r="F20" s="57"/>
      <c r="G20" s="58"/>
      <c r="H20" s="11">
        <v>3</v>
      </c>
      <c r="I20" s="12" t="s">
        <v>18</v>
      </c>
      <c r="J20" s="13">
        <v>850000</v>
      </c>
      <c r="K20" s="59">
        <f>SUM(J20*H20)</f>
        <v>2550000</v>
      </c>
      <c r="L20" s="60"/>
      <c r="O20" s="14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</row>
    <row r="21" spans="1:37" ht="18.75" customHeight="1" x14ac:dyDescent="0.45">
      <c r="A21" s="11"/>
      <c r="B21" s="56"/>
      <c r="C21" s="57"/>
      <c r="D21" s="57"/>
      <c r="E21" s="57"/>
      <c r="F21" s="57"/>
      <c r="G21" s="58"/>
      <c r="H21" s="11"/>
      <c r="I21" s="12"/>
      <c r="J21" s="13"/>
      <c r="K21" s="59"/>
      <c r="L21" s="60"/>
      <c r="O21" s="14"/>
    </row>
    <row r="22" spans="1:37" ht="18.75" customHeight="1" x14ac:dyDescent="0.45">
      <c r="A22" s="11"/>
      <c r="B22" s="18"/>
      <c r="C22" s="19"/>
      <c r="D22" s="19"/>
      <c r="E22" s="19"/>
      <c r="F22" s="19"/>
      <c r="G22" s="19"/>
      <c r="H22" s="29"/>
      <c r="I22" s="20"/>
      <c r="J22" s="15"/>
      <c r="K22" s="16"/>
      <c r="L22" s="17"/>
    </row>
    <row r="23" spans="1:37" ht="18.75" customHeight="1" x14ac:dyDescent="0.45">
      <c r="A23" s="11"/>
      <c r="B23" s="18"/>
      <c r="C23" s="19"/>
      <c r="D23" s="19"/>
      <c r="E23" s="19"/>
      <c r="F23" s="19"/>
      <c r="G23" s="19"/>
      <c r="H23" s="29"/>
      <c r="I23" s="21"/>
      <c r="J23" s="22"/>
      <c r="K23" s="16"/>
      <c r="L23" s="17"/>
    </row>
    <row r="24" spans="1:37" ht="18.75" customHeight="1" x14ac:dyDescent="0.45">
      <c r="A24" s="11"/>
      <c r="B24" s="18"/>
      <c r="C24" s="19"/>
      <c r="D24" s="19"/>
      <c r="E24" s="19"/>
      <c r="F24" s="19"/>
      <c r="G24" s="19"/>
      <c r="H24" s="29"/>
      <c r="I24" s="21"/>
      <c r="J24" s="13"/>
      <c r="K24" s="61"/>
      <c r="L24" s="62"/>
    </row>
    <row r="25" spans="1:37" ht="18.75" customHeight="1" x14ac:dyDescent="0.45">
      <c r="A25" s="11"/>
      <c r="B25" s="25"/>
      <c r="C25" s="26"/>
      <c r="D25" s="26"/>
      <c r="E25" s="26"/>
      <c r="F25" s="26"/>
      <c r="G25" s="26"/>
      <c r="H25" s="28"/>
      <c r="I25" s="21"/>
      <c r="J25" s="13"/>
      <c r="K25" s="45"/>
      <c r="L25" s="46"/>
    </row>
    <row r="26" spans="1:37" ht="18.75" customHeight="1" x14ac:dyDescent="0.45">
      <c r="A26" s="11"/>
      <c r="B26" s="25"/>
      <c r="C26" s="26"/>
      <c r="D26" s="26"/>
      <c r="E26" s="26"/>
      <c r="F26" s="26"/>
      <c r="G26" s="26"/>
      <c r="H26" s="28"/>
      <c r="I26" s="21"/>
      <c r="J26" s="13"/>
      <c r="K26" s="23"/>
      <c r="L26" s="24"/>
    </row>
    <row r="27" spans="1:37" ht="18.75" customHeight="1" x14ac:dyDescent="0.45">
      <c r="A27" s="11"/>
      <c r="B27" s="25"/>
      <c r="C27" s="26"/>
      <c r="D27" s="26"/>
      <c r="E27" s="26"/>
      <c r="F27" s="26"/>
      <c r="G27" s="26"/>
      <c r="H27" s="28"/>
      <c r="I27" s="21"/>
      <c r="J27" s="13"/>
      <c r="K27" s="23"/>
      <c r="L27" s="24"/>
    </row>
    <row r="28" spans="1:37" ht="18.75" customHeight="1" x14ac:dyDescent="0.45">
      <c r="A28" s="11"/>
      <c r="B28" s="25"/>
      <c r="C28" s="26"/>
      <c r="D28" s="26"/>
      <c r="E28" s="26"/>
      <c r="F28" s="26"/>
      <c r="G28" s="26"/>
      <c r="H28" s="28"/>
      <c r="I28" s="21"/>
      <c r="J28" s="13"/>
      <c r="K28" s="61"/>
      <c r="L28" s="62"/>
    </row>
    <row r="29" spans="1:37" ht="18.75" customHeight="1" x14ac:dyDescent="0.45">
      <c r="A29" s="11"/>
      <c r="B29" s="25"/>
      <c r="C29" s="26"/>
      <c r="D29" s="26"/>
      <c r="E29" s="26"/>
      <c r="F29" s="26"/>
      <c r="G29" s="26"/>
      <c r="H29" s="28"/>
      <c r="I29" s="21"/>
      <c r="J29" s="13"/>
      <c r="K29" s="23"/>
      <c r="L29" s="24"/>
    </row>
    <row r="30" spans="1:37" ht="18.75" customHeight="1" x14ac:dyDescent="0.45">
      <c r="A30" s="11"/>
      <c r="B30" s="63" t="s">
        <v>19</v>
      </c>
      <c r="C30" s="64"/>
      <c r="D30" s="64"/>
      <c r="E30" s="64"/>
      <c r="F30" s="64"/>
      <c r="G30" s="64"/>
      <c r="H30" s="64"/>
      <c r="I30" s="64"/>
      <c r="J30" s="65"/>
      <c r="K30" s="59">
        <f>SUM(K20:L29)</f>
        <v>2550000</v>
      </c>
      <c r="L30" s="60"/>
      <c r="M30" s="27"/>
    </row>
    <row r="31" spans="1:37" ht="7.5" customHeight="1" x14ac:dyDescent="0.45">
      <c r="A31" s="66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8"/>
      <c r="M31" s="27"/>
    </row>
    <row r="32" spans="1:37" ht="26.1" customHeight="1" x14ac:dyDescent="0.45">
      <c r="A32" s="69" t="s">
        <v>20</v>
      </c>
      <c r="B32" s="70"/>
      <c r="C32" s="70"/>
      <c r="D32" s="71"/>
      <c r="E32" s="72" t="s">
        <v>33</v>
      </c>
      <c r="F32" s="73"/>
      <c r="G32" s="49" t="s">
        <v>21</v>
      </c>
      <c r="H32" s="50"/>
      <c r="I32" s="54"/>
      <c r="J32" s="74" t="s">
        <v>22</v>
      </c>
      <c r="K32" s="75"/>
      <c r="L32" s="76"/>
    </row>
    <row r="33" spans="1:12" ht="26.25" customHeight="1" x14ac:dyDescent="0.45">
      <c r="A33" s="69" t="s">
        <v>23</v>
      </c>
      <c r="B33" s="70"/>
      <c r="C33" s="70"/>
      <c r="D33" s="71"/>
      <c r="E33" s="77" t="s">
        <v>32</v>
      </c>
      <c r="F33" s="78"/>
      <c r="G33" s="69" t="s">
        <v>24</v>
      </c>
      <c r="H33" s="70"/>
      <c r="I33" s="71"/>
      <c r="J33" s="79" t="s">
        <v>51</v>
      </c>
      <c r="K33" s="80"/>
      <c r="L33" s="81"/>
    </row>
    <row r="34" spans="1:12" ht="26.25" customHeight="1" x14ac:dyDescent="0.45">
      <c r="A34" s="69" t="s">
        <v>34</v>
      </c>
      <c r="B34" s="70"/>
      <c r="C34" s="70"/>
      <c r="D34" s="71"/>
      <c r="E34" s="82" t="s">
        <v>54</v>
      </c>
      <c r="F34" s="83"/>
      <c r="G34" s="69" t="s">
        <v>26</v>
      </c>
      <c r="H34" s="70"/>
      <c r="I34" s="71"/>
      <c r="J34" s="79" t="s">
        <v>51</v>
      </c>
      <c r="K34" s="80"/>
      <c r="L34" s="81"/>
    </row>
    <row r="35" spans="1:12" ht="26.25" customHeight="1" x14ac:dyDescent="0.45">
      <c r="A35" s="69" t="s">
        <v>27</v>
      </c>
      <c r="B35" s="70"/>
      <c r="C35" s="70"/>
      <c r="D35" s="71"/>
      <c r="E35" s="82" t="s">
        <v>25</v>
      </c>
      <c r="F35" s="83"/>
      <c r="G35" s="69" t="s">
        <v>28</v>
      </c>
      <c r="H35" s="70"/>
      <c r="I35" s="71"/>
      <c r="J35" s="85">
        <v>46213</v>
      </c>
      <c r="K35" s="86"/>
      <c r="L35" s="87"/>
    </row>
    <row r="36" spans="1:12" ht="18.75" customHeight="1" x14ac:dyDescent="0.45">
      <c r="A36" s="88" t="s">
        <v>29</v>
      </c>
      <c r="B36" s="91" t="s">
        <v>53</v>
      </c>
      <c r="C36" s="92"/>
      <c r="D36" s="92"/>
      <c r="E36" s="92"/>
      <c r="F36" s="92"/>
      <c r="G36" s="92"/>
      <c r="H36" s="92"/>
      <c r="I36" s="92"/>
      <c r="J36" s="92"/>
      <c r="K36" s="92"/>
      <c r="L36" s="93"/>
    </row>
    <row r="37" spans="1:12" ht="18.75" customHeight="1" x14ac:dyDescent="0.45">
      <c r="A37" s="89"/>
      <c r="B37" s="94" t="s">
        <v>35</v>
      </c>
      <c r="C37" s="95"/>
      <c r="D37" s="95"/>
      <c r="E37" s="95"/>
      <c r="F37" s="95"/>
      <c r="G37" s="95"/>
      <c r="H37" s="95"/>
      <c r="I37" s="95"/>
      <c r="J37" s="95"/>
      <c r="K37" s="95"/>
      <c r="L37" s="96"/>
    </row>
    <row r="38" spans="1:12" ht="18.75" customHeight="1" x14ac:dyDescent="0.45">
      <c r="A38" s="89"/>
      <c r="B38" s="94"/>
      <c r="C38" s="95"/>
      <c r="D38" s="95"/>
      <c r="E38" s="95"/>
      <c r="F38" s="95"/>
      <c r="G38" s="95"/>
      <c r="H38" s="95"/>
      <c r="I38" s="95"/>
      <c r="J38" s="95"/>
      <c r="K38" s="95"/>
      <c r="L38" s="96"/>
    </row>
    <row r="39" spans="1:12" ht="18.75" customHeight="1" x14ac:dyDescent="0.45">
      <c r="A39" s="89"/>
      <c r="B39" s="94"/>
      <c r="C39" s="95"/>
      <c r="D39" s="95"/>
      <c r="E39" s="95"/>
      <c r="F39" s="95"/>
      <c r="G39" s="95"/>
      <c r="H39" s="95"/>
      <c r="I39" s="95"/>
      <c r="J39" s="95"/>
      <c r="K39" s="95"/>
      <c r="L39" s="96"/>
    </row>
    <row r="40" spans="1:12" ht="18.75" customHeight="1" x14ac:dyDescent="0.45">
      <c r="A40" s="90"/>
      <c r="B40" s="97"/>
      <c r="C40" s="98"/>
      <c r="D40" s="98"/>
      <c r="E40" s="98"/>
      <c r="F40" s="98"/>
      <c r="G40" s="98"/>
      <c r="H40" s="98"/>
      <c r="I40" s="98"/>
      <c r="J40" s="98"/>
      <c r="K40" s="98"/>
      <c r="L40" s="99"/>
    </row>
    <row r="41" spans="1:12" ht="10.5" customHeight="1" x14ac:dyDescent="0.45"/>
    <row r="42" spans="1:12" ht="15.75" customHeight="1" x14ac:dyDescent="0.45">
      <c r="A42" s="84" t="s">
        <v>30</v>
      </c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</row>
    <row r="43" spans="1:12" ht="15.75" customHeight="1" x14ac:dyDescent="0.45">
      <c r="A43" s="84" t="s">
        <v>31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</row>
  </sheetData>
  <protectedRanges>
    <protectedRange sqref="F12 F16 E32:F32 A20:A30 B38:L40 E34:F35 G20:K21 B20:E21 B22:L30 J32:L35" name="範囲1"/>
    <protectedRange sqref="E33:F33" name="範囲1_2"/>
    <protectedRange sqref="B36:L36" name="範囲1_3"/>
    <protectedRange sqref="B37:L37" name="範囲1_1_1"/>
  </protectedRanges>
  <mergeCells count="53">
    <mergeCell ref="A16:E16"/>
    <mergeCell ref="F16:L16"/>
    <mergeCell ref="K1:L1"/>
    <mergeCell ref="A2:L2"/>
    <mergeCell ref="K3:L3"/>
    <mergeCell ref="A4:L4"/>
    <mergeCell ref="A5:G5"/>
    <mergeCell ref="A6:G6"/>
    <mergeCell ref="K11:K13"/>
    <mergeCell ref="L11:L13"/>
    <mergeCell ref="A12:E13"/>
    <mergeCell ref="F12:G13"/>
    <mergeCell ref="H12:H13"/>
    <mergeCell ref="K25:L25"/>
    <mergeCell ref="A18:A19"/>
    <mergeCell ref="B18:G19"/>
    <mergeCell ref="H18:H19"/>
    <mergeCell ref="I18:I19"/>
    <mergeCell ref="J18:J19"/>
    <mergeCell ref="K18:L19"/>
    <mergeCell ref="B20:G20"/>
    <mergeCell ref="K20:L20"/>
    <mergeCell ref="B21:G21"/>
    <mergeCell ref="K21:L21"/>
    <mergeCell ref="K24:L24"/>
    <mergeCell ref="K28:L28"/>
    <mergeCell ref="B30:J30"/>
    <mergeCell ref="K30:L30"/>
    <mergeCell ref="A31:L31"/>
    <mergeCell ref="A32:D32"/>
    <mergeCell ref="E32:F32"/>
    <mergeCell ref="G32:I32"/>
    <mergeCell ref="J32:L32"/>
    <mergeCell ref="A33:D33"/>
    <mergeCell ref="E33:F33"/>
    <mergeCell ref="G33:I33"/>
    <mergeCell ref="J33:L33"/>
    <mergeCell ref="A34:D34"/>
    <mergeCell ref="E34:F34"/>
    <mergeCell ref="G34:I34"/>
    <mergeCell ref="J34:L34"/>
    <mergeCell ref="A42:L42"/>
    <mergeCell ref="A43:L43"/>
    <mergeCell ref="A35:D35"/>
    <mergeCell ref="E35:F35"/>
    <mergeCell ref="G35:I35"/>
    <mergeCell ref="J35:L35"/>
    <mergeCell ref="A36:A40"/>
    <mergeCell ref="B36:L36"/>
    <mergeCell ref="B37:L37"/>
    <mergeCell ref="B38:L38"/>
    <mergeCell ref="B39:L39"/>
    <mergeCell ref="B40:L40"/>
  </mergeCells>
  <phoneticPr fontId="2"/>
  <hyperlinks>
    <hyperlink ref="E33" r:id="rId1" display="yuki_hattori@aim-info.co.jp" xr:uid="{4C80F11A-DB67-434E-B79B-A0E2EEA452C3}"/>
  </hyperlinks>
  <printOptions horizontalCentered="1"/>
  <pageMargins left="0" right="0" top="0.15748031496062992" bottom="0.15748031496062992" header="0.31496062992125984" footer="0.31496062992125984"/>
  <pageSetup paperSize="9" scale="97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B4915-098A-4714-9A26-D207A528B820}">
  <dimension ref="A1:AK43"/>
  <sheetViews>
    <sheetView showGridLines="0" tabSelected="1" view="pageBreakPreview" zoomScaleNormal="100" zoomScaleSheetLayoutView="100" workbookViewId="0">
      <selection activeCell="A4" sqref="A4:L4"/>
    </sheetView>
  </sheetViews>
  <sheetFormatPr defaultColWidth="4.59765625" defaultRowHeight="13.2" x14ac:dyDescent="0.45"/>
  <cols>
    <col min="1" max="1" width="3.59765625" style="2" customWidth="1"/>
    <col min="2" max="2" width="3.09765625" style="2" bestFit="1" customWidth="1"/>
    <col min="3" max="3" width="4.59765625" style="2" customWidth="1"/>
    <col min="4" max="4" width="4.59765625" style="2"/>
    <col min="5" max="5" width="9.09765625" style="2" customWidth="1"/>
    <col min="6" max="6" width="16.09765625" style="2" customWidth="1"/>
    <col min="7" max="7" width="3.59765625" style="2" customWidth="1"/>
    <col min="8" max="9" width="6.09765625" style="2" customWidth="1"/>
    <col min="10" max="10" width="13" style="2" customWidth="1"/>
    <col min="11" max="11" width="7.296875" style="2" customWidth="1"/>
    <col min="12" max="12" width="7.09765625" style="2" customWidth="1"/>
    <col min="13" max="13" width="4.59765625" style="2"/>
    <col min="14" max="14" width="8.296875" style="2" bestFit="1" customWidth="1"/>
    <col min="15" max="16384" width="4.59765625" style="2"/>
  </cols>
  <sheetData>
    <row r="1" spans="1:37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33" t="s">
        <v>56</v>
      </c>
      <c r="L1" s="34"/>
    </row>
    <row r="2" spans="1:37" ht="21" x14ac:dyDescent="0.45">
      <c r="A2" s="35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37" ht="13.5" customHeight="1" x14ac:dyDescent="0.45">
      <c r="A3" s="3"/>
      <c r="B3" s="3"/>
      <c r="C3" s="3"/>
      <c r="D3" s="3"/>
      <c r="E3" s="3"/>
      <c r="F3" s="3"/>
      <c r="G3" s="3"/>
      <c r="H3" s="3"/>
      <c r="I3" s="3"/>
      <c r="J3" s="3"/>
      <c r="K3" s="36">
        <v>46184</v>
      </c>
      <c r="L3" s="36"/>
    </row>
    <row r="4" spans="1:37" x14ac:dyDescent="0.45">
      <c r="A4" s="37" t="s">
        <v>1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37" ht="19.5" customHeight="1" x14ac:dyDescent="0.45">
      <c r="A5" s="38"/>
      <c r="B5" s="38"/>
      <c r="C5" s="38"/>
      <c r="D5" s="38"/>
      <c r="E5" s="38"/>
      <c r="F5" s="38"/>
      <c r="G5" s="38"/>
    </row>
    <row r="6" spans="1:37" ht="19.5" customHeight="1" x14ac:dyDescent="0.45">
      <c r="A6" s="38" t="s">
        <v>2</v>
      </c>
      <c r="B6" s="38"/>
      <c r="C6" s="38"/>
      <c r="D6" s="38"/>
      <c r="E6" s="38"/>
      <c r="F6" s="38"/>
      <c r="G6" s="38"/>
    </row>
    <row r="7" spans="1:37" ht="36.75" customHeight="1" x14ac:dyDescent="0.45">
      <c r="A7" s="4" t="s">
        <v>58</v>
      </c>
      <c r="D7" s="4"/>
      <c r="E7" s="3"/>
      <c r="F7" s="3"/>
      <c r="G7" s="3"/>
      <c r="H7" s="3"/>
      <c r="I7" s="3"/>
      <c r="J7" s="3"/>
      <c r="K7" s="3"/>
      <c r="L7" s="3"/>
    </row>
    <row r="8" spans="1:37" ht="36.75" customHeight="1" x14ac:dyDescent="0.45"/>
    <row r="9" spans="1:37" ht="35.25" customHeight="1" x14ac:dyDescent="0.45">
      <c r="A9" s="5" t="s">
        <v>4</v>
      </c>
    </row>
    <row r="10" spans="1:37" ht="14.25" customHeight="1" x14ac:dyDescent="0.45">
      <c r="A10" s="5"/>
      <c r="K10" s="6" t="s">
        <v>5</v>
      </c>
      <c r="L10" s="6" t="s">
        <v>6</v>
      </c>
    </row>
    <row r="11" spans="1:37" ht="8.5500000000000007" customHeight="1" x14ac:dyDescent="0.45">
      <c r="A11" s="5"/>
      <c r="K11" s="39"/>
      <c r="L11" s="39"/>
    </row>
    <row r="12" spans="1:37" ht="18" customHeight="1" x14ac:dyDescent="0.45">
      <c r="A12" s="40" t="s">
        <v>7</v>
      </c>
      <c r="B12" s="40"/>
      <c r="C12" s="40"/>
      <c r="D12" s="40"/>
      <c r="E12" s="40"/>
      <c r="F12" s="42">
        <f>K30</f>
        <v>2700000</v>
      </c>
      <c r="G12" s="42"/>
      <c r="H12" s="44" t="s">
        <v>8</v>
      </c>
      <c r="I12" s="1"/>
      <c r="J12" s="1"/>
      <c r="K12" s="39"/>
      <c r="L12" s="39"/>
    </row>
    <row r="13" spans="1:37" ht="13.5" customHeight="1" thickBot="1" x14ac:dyDescent="0.5">
      <c r="A13" s="41"/>
      <c r="B13" s="41"/>
      <c r="C13" s="41"/>
      <c r="D13" s="41"/>
      <c r="E13" s="41"/>
      <c r="F13" s="43"/>
      <c r="G13" s="43"/>
      <c r="H13" s="44"/>
      <c r="J13" s="1"/>
      <c r="K13" s="39"/>
      <c r="L13" s="39"/>
    </row>
    <row r="14" spans="1:37" ht="13.5" customHeight="1" x14ac:dyDescent="0.45">
      <c r="A14" s="7"/>
      <c r="B14" s="7"/>
      <c r="C14" s="7"/>
      <c r="D14" s="7"/>
      <c r="E14" s="7"/>
      <c r="F14" s="8"/>
      <c r="G14" s="8"/>
      <c r="H14" s="8"/>
      <c r="I14" s="1"/>
      <c r="J14" s="1"/>
    </row>
    <row r="15" spans="1:37" ht="11.25" customHeight="1" x14ac:dyDescent="0.4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37" ht="32.25" customHeight="1" x14ac:dyDescent="0.45">
      <c r="A16" s="31" t="s">
        <v>9</v>
      </c>
      <c r="B16" s="31"/>
      <c r="C16" s="31"/>
      <c r="D16" s="31"/>
      <c r="E16" s="31"/>
      <c r="F16" s="32" t="s">
        <v>39</v>
      </c>
      <c r="G16" s="32"/>
      <c r="H16" s="32"/>
      <c r="I16" s="32"/>
      <c r="J16" s="32"/>
      <c r="K16" s="32"/>
      <c r="L16" s="32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</row>
    <row r="17" spans="1:37" x14ac:dyDescent="0.45">
      <c r="A17" s="10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</row>
    <row r="18" spans="1:37" ht="13.5" customHeight="1" x14ac:dyDescent="0.45">
      <c r="A18" s="47" t="s">
        <v>11</v>
      </c>
      <c r="B18" s="49" t="s">
        <v>12</v>
      </c>
      <c r="C18" s="50"/>
      <c r="D18" s="50"/>
      <c r="E18" s="50"/>
      <c r="F18" s="50"/>
      <c r="G18" s="50"/>
      <c r="H18" s="47" t="s">
        <v>13</v>
      </c>
      <c r="I18" s="47" t="s">
        <v>14</v>
      </c>
      <c r="J18" s="49" t="s">
        <v>15</v>
      </c>
      <c r="K18" s="49" t="s">
        <v>16</v>
      </c>
      <c r="L18" s="54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</row>
    <row r="19" spans="1:37" ht="13.5" customHeight="1" x14ac:dyDescent="0.45">
      <c r="A19" s="48"/>
      <c r="B19" s="51"/>
      <c r="C19" s="52"/>
      <c r="D19" s="52"/>
      <c r="E19" s="52"/>
      <c r="F19" s="52"/>
      <c r="G19" s="52"/>
      <c r="H19" s="53"/>
      <c r="I19" s="53"/>
      <c r="J19" s="51"/>
      <c r="K19" s="51"/>
      <c r="L19" s="55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</row>
    <row r="20" spans="1:37" ht="18.75" customHeight="1" x14ac:dyDescent="0.45">
      <c r="A20" s="11">
        <v>1</v>
      </c>
      <c r="B20" s="56" t="s">
        <v>40</v>
      </c>
      <c r="C20" s="57"/>
      <c r="D20" s="57"/>
      <c r="E20" s="57"/>
      <c r="F20" s="57"/>
      <c r="G20" s="58"/>
      <c r="H20" s="11">
        <v>3</v>
      </c>
      <c r="I20" s="12" t="s">
        <v>18</v>
      </c>
      <c r="J20" s="13">
        <v>900000</v>
      </c>
      <c r="K20" s="59">
        <f>SUM(J20*H20)</f>
        <v>2700000</v>
      </c>
      <c r="L20" s="60"/>
      <c r="O20" s="14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</row>
    <row r="21" spans="1:37" ht="18.75" customHeight="1" x14ac:dyDescent="0.45">
      <c r="A21" s="11"/>
      <c r="B21" s="56"/>
      <c r="C21" s="57"/>
      <c r="D21" s="57"/>
      <c r="E21" s="57"/>
      <c r="F21" s="57"/>
      <c r="G21" s="58"/>
      <c r="H21" s="11"/>
      <c r="I21" s="12"/>
      <c r="J21" s="13"/>
      <c r="K21" s="59"/>
      <c r="L21" s="60"/>
      <c r="O21" s="14"/>
    </row>
    <row r="22" spans="1:37" ht="18.75" customHeight="1" x14ac:dyDescent="0.45">
      <c r="A22" s="11"/>
      <c r="B22" s="18"/>
      <c r="C22" s="19"/>
      <c r="D22" s="19"/>
      <c r="E22" s="19"/>
      <c r="F22" s="19"/>
      <c r="G22" s="19"/>
      <c r="H22" s="29"/>
      <c r="I22" s="20"/>
      <c r="J22" s="15"/>
      <c r="K22" s="16"/>
      <c r="L22" s="17"/>
    </row>
    <row r="23" spans="1:37" ht="18.75" customHeight="1" x14ac:dyDescent="0.45">
      <c r="A23" s="11"/>
      <c r="B23" s="18"/>
      <c r="C23" s="19"/>
      <c r="D23" s="19"/>
      <c r="E23" s="19"/>
      <c r="F23" s="19"/>
      <c r="G23" s="19"/>
      <c r="H23" s="29"/>
      <c r="I23" s="21"/>
      <c r="J23" s="22"/>
      <c r="K23" s="16"/>
      <c r="L23" s="17"/>
    </row>
    <row r="24" spans="1:37" ht="18.75" customHeight="1" x14ac:dyDescent="0.45">
      <c r="A24" s="11"/>
      <c r="B24" s="18"/>
      <c r="C24" s="19"/>
      <c r="D24" s="19"/>
      <c r="E24" s="19"/>
      <c r="F24" s="19"/>
      <c r="G24" s="19"/>
      <c r="H24" s="29"/>
      <c r="I24" s="21"/>
      <c r="J24" s="13"/>
      <c r="K24" s="61"/>
      <c r="L24" s="62"/>
    </row>
    <row r="25" spans="1:37" ht="18.75" customHeight="1" x14ac:dyDescent="0.45">
      <c r="A25" s="11"/>
      <c r="B25" s="25"/>
      <c r="C25" s="26"/>
      <c r="D25" s="26"/>
      <c r="E25" s="26"/>
      <c r="F25" s="26"/>
      <c r="G25" s="26"/>
      <c r="H25" s="28"/>
      <c r="I25" s="21"/>
      <c r="J25" s="13"/>
      <c r="K25" s="45"/>
      <c r="L25" s="46"/>
    </row>
    <row r="26" spans="1:37" ht="18.75" customHeight="1" x14ac:dyDescent="0.45">
      <c r="A26" s="11"/>
      <c r="B26" s="25"/>
      <c r="C26" s="26"/>
      <c r="D26" s="26"/>
      <c r="E26" s="26"/>
      <c r="F26" s="26"/>
      <c r="G26" s="26"/>
      <c r="H26" s="28"/>
      <c r="I26" s="21"/>
      <c r="J26" s="13"/>
      <c r="K26" s="23"/>
      <c r="L26" s="24"/>
    </row>
    <row r="27" spans="1:37" ht="18.75" customHeight="1" x14ac:dyDescent="0.45">
      <c r="A27" s="11"/>
      <c r="B27" s="25"/>
      <c r="C27" s="26"/>
      <c r="D27" s="26"/>
      <c r="E27" s="26"/>
      <c r="F27" s="26"/>
      <c r="G27" s="26"/>
      <c r="H27" s="28"/>
      <c r="I27" s="21"/>
      <c r="J27" s="13"/>
      <c r="K27" s="23"/>
      <c r="L27" s="24"/>
    </row>
    <row r="28" spans="1:37" ht="18.75" customHeight="1" x14ac:dyDescent="0.45">
      <c r="A28" s="11"/>
      <c r="B28" s="25"/>
      <c r="C28" s="26"/>
      <c r="D28" s="26"/>
      <c r="E28" s="26"/>
      <c r="F28" s="26"/>
      <c r="G28" s="26"/>
      <c r="H28" s="28"/>
      <c r="I28" s="21"/>
      <c r="J28" s="13"/>
      <c r="K28" s="61"/>
      <c r="L28" s="62"/>
    </row>
    <row r="29" spans="1:37" ht="18.75" customHeight="1" x14ac:dyDescent="0.45">
      <c r="A29" s="11"/>
      <c r="B29" s="25"/>
      <c r="C29" s="26"/>
      <c r="D29" s="26"/>
      <c r="E29" s="26"/>
      <c r="F29" s="26"/>
      <c r="G29" s="26"/>
      <c r="H29" s="28"/>
      <c r="I29" s="21"/>
      <c r="J29" s="13"/>
      <c r="K29" s="23"/>
      <c r="L29" s="24"/>
    </row>
    <row r="30" spans="1:37" ht="18.75" customHeight="1" x14ac:dyDescent="0.45">
      <c r="A30" s="11"/>
      <c r="B30" s="63" t="s">
        <v>19</v>
      </c>
      <c r="C30" s="64"/>
      <c r="D30" s="64"/>
      <c r="E30" s="64"/>
      <c r="F30" s="64"/>
      <c r="G30" s="64"/>
      <c r="H30" s="64"/>
      <c r="I30" s="64"/>
      <c r="J30" s="65"/>
      <c r="K30" s="59">
        <f>SUM(K20:L29)</f>
        <v>2700000</v>
      </c>
      <c r="L30" s="60"/>
      <c r="M30" s="27"/>
    </row>
    <row r="31" spans="1:37" ht="7.5" customHeight="1" x14ac:dyDescent="0.45">
      <c r="A31" s="66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8"/>
      <c r="M31" s="27"/>
    </row>
    <row r="32" spans="1:37" ht="26.1" customHeight="1" x14ac:dyDescent="0.45">
      <c r="A32" s="69" t="s">
        <v>20</v>
      </c>
      <c r="B32" s="70"/>
      <c r="C32" s="70"/>
      <c r="D32" s="71"/>
      <c r="E32" s="72" t="s">
        <v>33</v>
      </c>
      <c r="F32" s="73"/>
      <c r="G32" s="49" t="s">
        <v>21</v>
      </c>
      <c r="H32" s="50"/>
      <c r="I32" s="54"/>
      <c r="J32" s="74" t="s">
        <v>22</v>
      </c>
      <c r="K32" s="75"/>
      <c r="L32" s="76"/>
    </row>
    <row r="33" spans="1:12" ht="26.25" customHeight="1" x14ac:dyDescent="0.45">
      <c r="A33" s="69" t="s">
        <v>23</v>
      </c>
      <c r="B33" s="70"/>
      <c r="C33" s="70"/>
      <c r="D33" s="71"/>
      <c r="E33" s="77" t="s">
        <v>32</v>
      </c>
      <c r="F33" s="78"/>
      <c r="G33" s="69" t="s">
        <v>24</v>
      </c>
      <c r="H33" s="70"/>
      <c r="I33" s="71"/>
      <c r="J33" s="79" t="s">
        <v>51</v>
      </c>
      <c r="K33" s="80"/>
      <c r="L33" s="81"/>
    </row>
    <row r="34" spans="1:12" ht="26.25" customHeight="1" x14ac:dyDescent="0.45">
      <c r="A34" s="69" t="s">
        <v>34</v>
      </c>
      <c r="B34" s="70"/>
      <c r="C34" s="70"/>
      <c r="D34" s="71"/>
      <c r="E34" s="82" t="s">
        <v>55</v>
      </c>
      <c r="F34" s="83"/>
      <c r="G34" s="69" t="s">
        <v>26</v>
      </c>
      <c r="H34" s="70"/>
      <c r="I34" s="71"/>
      <c r="J34" s="79" t="s">
        <v>51</v>
      </c>
      <c r="K34" s="80"/>
      <c r="L34" s="81"/>
    </row>
    <row r="35" spans="1:12" ht="26.25" customHeight="1" x14ac:dyDescent="0.45">
      <c r="A35" s="69" t="s">
        <v>27</v>
      </c>
      <c r="B35" s="70"/>
      <c r="C35" s="70"/>
      <c r="D35" s="71"/>
      <c r="E35" s="82" t="s">
        <v>25</v>
      </c>
      <c r="F35" s="83"/>
      <c r="G35" s="69" t="s">
        <v>28</v>
      </c>
      <c r="H35" s="70"/>
      <c r="I35" s="71"/>
      <c r="J35" s="85">
        <v>46213</v>
      </c>
      <c r="K35" s="86"/>
      <c r="L35" s="87"/>
    </row>
    <row r="36" spans="1:12" ht="18.75" customHeight="1" x14ac:dyDescent="0.45">
      <c r="A36" s="88" t="s">
        <v>29</v>
      </c>
      <c r="B36" s="91" t="s">
        <v>57</v>
      </c>
      <c r="C36" s="92"/>
      <c r="D36" s="92"/>
      <c r="E36" s="92"/>
      <c r="F36" s="92"/>
      <c r="G36" s="92"/>
      <c r="H36" s="92"/>
      <c r="I36" s="92"/>
      <c r="J36" s="92"/>
      <c r="K36" s="92"/>
      <c r="L36" s="93"/>
    </row>
    <row r="37" spans="1:12" ht="18.75" customHeight="1" x14ac:dyDescent="0.45">
      <c r="A37" s="89"/>
      <c r="B37" s="94" t="s">
        <v>35</v>
      </c>
      <c r="C37" s="95"/>
      <c r="D37" s="95"/>
      <c r="E37" s="95"/>
      <c r="F37" s="95"/>
      <c r="G37" s="95"/>
      <c r="H37" s="95"/>
      <c r="I37" s="95"/>
      <c r="J37" s="95"/>
      <c r="K37" s="95"/>
      <c r="L37" s="96"/>
    </row>
    <row r="38" spans="1:12" ht="18.75" customHeight="1" x14ac:dyDescent="0.45">
      <c r="A38" s="89"/>
      <c r="B38" s="94"/>
      <c r="C38" s="95"/>
      <c r="D38" s="95"/>
      <c r="E38" s="95"/>
      <c r="F38" s="95"/>
      <c r="G38" s="95"/>
      <c r="H38" s="95"/>
      <c r="I38" s="95"/>
      <c r="J38" s="95"/>
      <c r="K38" s="95"/>
      <c r="L38" s="96"/>
    </row>
    <row r="39" spans="1:12" ht="18.75" customHeight="1" x14ac:dyDescent="0.45">
      <c r="A39" s="89"/>
      <c r="B39" s="94"/>
      <c r="C39" s="95"/>
      <c r="D39" s="95"/>
      <c r="E39" s="95"/>
      <c r="F39" s="95"/>
      <c r="G39" s="95"/>
      <c r="H39" s="95"/>
      <c r="I39" s="95"/>
      <c r="J39" s="95"/>
      <c r="K39" s="95"/>
      <c r="L39" s="96"/>
    </row>
    <row r="40" spans="1:12" ht="18.75" customHeight="1" x14ac:dyDescent="0.45">
      <c r="A40" s="90"/>
      <c r="B40" s="97"/>
      <c r="C40" s="98"/>
      <c r="D40" s="98"/>
      <c r="E40" s="98"/>
      <c r="F40" s="98"/>
      <c r="G40" s="98"/>
      <c r="H40" s="98"/>
      <c r="I40" s="98"/>
      <c r="J40" s="98"/>
      <c r="K40" s="98"/>
      <c r="L40" s="99"/>
    </row>
    <row r="41" spans="1:12" ht="10.5" customHeight="1" x14ac:dyDescent="0.45"/>
    <row r="42" spans="1:12" ht="15.75" customHeight="1" x14ac:dyDescent="0.45">
      <c r="A42" s="84" t="s">
        <v>30</v>
      </c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</row>
    <row r="43" spans="1:12" ht="15.75" customHeight="1" x14ac:dyDescent="0.45">
      <c r="A43" s="84" t="s">
        <v>31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</row>
  </sheetData>
  <protectedRanges>
    <protectedRange sqref="F12 F16 E32:F32 A20:A30 B38:L40 E34:F35 G20:K21 B20:E21 B22:L30 J32:L32 J35:L35" name="範囲1"/>
    <protectedRange sqref="E33:F33" name="範囲1_2"/>
    <protectedRange sqref="B36:L36" name="範囲1_3"/>
    <protectedRange sqref="B37:L37" name="範囲1_1_1"/>
    <protectedRange sqref="J33:L34" name="範囲1_1"/>
  </protectedRanges>
  <mergeCells count="53">
    <mergeCell ref="A42:L42"/>
    <mergeCell ref="A43:L43"/>
    <mergeCell ref="A35:D35"/>
    <mergeCell ref="E35:F35"/>
    <mergeCell ref="G35:I35"/>
    <mergeCell ref="J35:L35"/>
    <mergeCell ref="A36:A40"/>
    <mergeCell ref="B36:L36"/>
    <mergeCell ref="B37:L37"/>
    <mergeCell ref="B38:L38"/>
    <mergeCell ref="B39:L39"/>
    <mergeCell ref="B40:L40"/>
    <mergeCell ref="A33:D33"/>
    <mergeCell ref="E33:F33"/>
    <mergeCell ref="G33:I33"/>
    <mergeCell ref="J33:L33"/>
    <mergeCell ref="A34:D34"/>
    <mergeCell ref="E34:F34"/>
    <mergeCell ref="G34:I34"/>
    <mergeCell ref="J34:L34"/>
    <mergeCell ref="K28:L28"/>
    <mergeCell ref="B30:J30"/>
    <mergeCell ref="K30:L30"/>
    <mergeCell ref="A31:L31"/>
    <mergeCell ref="A32:D32"/>
    <mergeCell ref="E32:F32"/>
    <mergeCell ref="G32:I32"/>
    <mergeCell ref="J32:L32"/>
    <mergeCell ref="K25:L25"/>
    <mergeCell ref="A18:A19"/>
    <mergeCell ref="B18:G19"/>
    <mergeCell ref="H18:H19"/>
    <mergeCell ref="I18:I19"/>
    <mergeCell ref="J18:J19"/>
    <mergeCell ref="K18:L19"/>
    <mergeCell ref="B20:G20"/>
    <mergeCell ref="K20:L20"/>
    <mergeCell ref="B21:G21"/>
    <mergeCell ref="K21:L21"/>
    <mergeCell ref="K24:L24"/>
    <mergeCell ref="A16:E16"/>
    <mergeCell ref="F16:L16"/>
    <mergeCell ref="K1:L1"/>
    <mergeCell ref="A2:L2"/>
    <mergeCell ref="K3:L3"/>
    <mergeCell ref="A4:L4"/>
    <mergeCell ref="A5:G5"/>
    <mergeCell ref="A6:G6"/>
    <mergeCell ref="K11:K13"/>
    <mergeCell ref="L11:L13"/>
    <mergeCell ref="A12:E13"/>
    <mergeCell ref="F12:G13"/>
    <mergeCell ref="H12:H13"/>
  </mergeCells>
  <phoneticPr fontId="2"/>
  <hyperlinks>
    <hyperlink ref="E33" r:id="rId1" display="yuki_hattori@aim-info.co.jp" xr:uid="{D54DB912-6985-49E9-AD17-86A91662E1B6}"/>
  </hyperlinks>
  <printOptions horizontalCentered="1"/>
  <pageMargins left="0" right="0" top="0.15748031496062992" bottom="0.15748031496062992" header="0.31496062992125984" footer="0.31496062992125984"/>
  <pageSetup paperSize="9" scale="97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F8BFD-BC92-45E8-8D18-70BCB416FAF9}">
  <dimension ref="A1:AK43"/>
  <sheetViews>
    <sheetView showGridLines="0" view="pageBreakPreview" topLeftCell="A24" zoomScaleNormal="100" zoomScaleSheetLayoutView="100" workbookViewId="0">
      <selection activeCell="J34" sqref="J34:L34"/>
    </sheetView>
  </sheetViews>
  <sheetFormatPr defaultColWidth="4.59765625" defaultRowHeight="13.2" x14ac:dyDescent="0.45"/>
  <cols>
    <col min="1" max="1" width="3.59765625" style="2" customWidth="1"/>
    <col min="2" max="2" width="3.09765625" style="2" bestFit="1" customWidth="1"/>
    <col min="3" max="4" width="4.59765625" style="2"/>
    <col min="5" max="5" width="9.09765625" style="2" customWidth="1"/>
    <col min="6" max="6" width="16.09765625" style="2" customWidth="1"/>
    <col min="7" max="7" width="3.59765625" style="2" customWidth="1"/>
    <col min="8" max="9" width="6.09765625" style="2" customWidth="1"/>
    <col min="10" max="10" width="13" style="2" customWidth="1"/>
    <col min="11" max="11" width="7.296875" style="2" customWidth="1"/>
    <col min="12" max="12" width="7.09765625" style="2" customWidth="1"/>
    <col min="13" max="13" width="4.59765625" style="2"/>
    <col min="14" max="14" width="8.296875" style="2" bestFit="1" customWidth="1"/>
    <col min="15" max="16384" width="4.59765625" style="2"/>
  </cols>
  <sheetData>
    <row r="1" spans="1:37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33" t="s">
        <v>43</v>
      </c>
      <c r="L1" s="34"/>
    </row>
    <row r="2" spans="1:37" ht="21" x14ac:dyDescent="0.45">
      <c r="A2" s="35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37" ht="13.5" customHeight="1" x14ac:dyDescent="0.45">
      <c r="A3" s="3"/>
      <c r="B3" s="3"/>
      <c r="C3" s="3"/>
      <c r="D3" s="3"/>
      <c r="E3" s="3"/>
      <c r="F3" s="3"/>
      <c r="G3" s="3"/>
      <c r="H3" s="3"/>
      <c r="I3" s="3"/>
      <c r="J3" s="3"/>
      <c r="K3" s="36">
        <v>46097</v>
      </c>
      <c r="L3" s="36"/>
    </row>
    <row r="4" spans="1:37" x14ac:dyDescent="0.45">
      <c r="A4" s="37" t="s">
        <v>1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37" ht="19.5" customHeight="1" x14ac:dyDescent="0.45">
      <c r="A5" s="38"/>
      <c r="B5" s="38"/>
      <c r="C5" s="38"/>
      <c r="D5" s="38"/>
      <c r="E5" s="38"/>
      <c r="F5" s="38"/>
      <c r="G5" s="38"/>
    </row>
    <row r="6" spans="1:37" ht="19.5" customHeight="1" x14ac:dyDescent="0.45">
      <c r="A6" s="38" t="s">
        <v>2</v>
      </c>
      <c r="B6" s="38"/>
      <c r="C6" s="38"/>
      <c r="D6" s="38"/>
      <c r="E6" s="38"/>
      <c r="F6" s="38"/>
      <c r="G6" s="38"/>
    </row>
    <row r="7" spans="1:37" ht="36.75" customHeight="1" x14ac:dyDescent="0.45">
      <c r="A7" s="3"/>
      <c r="D7" s="4" t="s">
        <v>3</v>
      </c>
      <c r="E7" s="3"/>
      <c r="F7" s="3"/>
      <c r="G7" s="3"/>
      <c r="H7" s="3"/>
      <c r="I7" s="3"/>
      <c r="J7" s="3"/>
      <c r="K7" s="3"/>
      <c r="L7" s="3"/>
    </row>
    <row r="8" spans="1:37" ht="36.75" customHeight="1" x14ac:dyDescent="0.45"/>
    <row r="9" spans="1:37" ht="35.25" customHeight="1" x14ac:dyDescent="0.45">
      <c r="A9" s="5" t="s">
        <v>4</v>
      </c>
    </row>
    <row r="10" spans="1:37" ht="14.25" customHeight="1" x14ac:dyDescent="0.45">
      <c r="A10" s="5"/>
      <c r="K10" s="6" t="s">
        <v>5</v>
      </c>
      <c r="L10" s="6" t="s">
        <v>6</v>
      </c>
    </row>
    <row r="11" spans="1:37" ht="8.5500000000000007" customHeight="1" x14ac:dyDescent="0.45">
      <c r="A11" s="5"/>
      <c r="K11" s="39"/>
      <c r="L11" s="39"/>
    </row>
    <row r="12" spans="1:37" ht="18" customHeight="1" x14ac:dyDescent="0.45">
      <c r="A12" s="40" t="s">
        <v>7</v>
      </c>
      <c r="B12" s="40"/>
      <c r="C12" s="40"/>
      <c r="D12" s="40"/>
      <c r="E12" s="40"/>
      <c r="F12" s="42">
        <f>K30</f>
        <v>2250000</v>
      </c>
      <c r="G12" s="42"/>
      <c r="H12" s="44" t="s">
        <v>8</v>
      </c>
      <c r="I12" s="1"/>
      <c r="J12" s="1"/>
      <c r="K12" s="39"/>
      <c r="L12" s="39"/>
    </row>
    <row r="13" spans="1:37" ht="13.5" customHeight="1" thickBot="1" x14ac:dyDescent="0.5">
      <c r="A13" s="41"/>
      <c r="B13" s="41"/>
      <c r="C13" s="41"/>
      <c r="D13" s="41"/>
      <c r="E13" s="41"/>
      <c r="F13" s="43"/>
      <c r="G13" s="43"/>
      <c r="H13" s="44"/>
      <c r="J13" s="1"/>
      <c r="K13" s="39"/>
      <c r="L13" s="39"/>
    </row>
    <row r="14" spans="1:37" ht="13.5" customHeight="1" x14ac:dyDescent="0.45">
      <c r="A14" s="7"/>
      <c r="B14" s="7"/>
      <c r="C14" s="7"/>
      <c r="D14" s="7"/>
      <c r="E14" s="7"/>
      <c r="F14" s="8"/>
      <c r="G14" s="8"/>
      <c r="H14" s="8"/>
      <c r="I14" s="1"/>
      <c r="J14" s="1"/>
    </row>
    <row r="15" spans="1:37" ht="11.25" customHeight="1" x14ac:dyDescent="0.4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37" ht="32.25" customHeight="1" x14ac:dyDescent="0.45">
      <c r="A16" s="31" t="s">
        <v>9</v>
      </c>
      <c r="B16" s="31"/>
      <c r="C16" s="31"/>
      <c r="D16" s="31"/>
      <c r="E16" s="31"/>
      <c r="F16" s="32" t="s">
        <v>39</v>
      </c>
      <c r="G16" s="32"/>
      <c r="H16" s="32"/>
      <c r="I16" s="32"/>
      <c r="J16" s="32"/>
      <c r="K16" s="32"/>
      <c r="L16" s="32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</row>
    <row r="17" spans="1:37" x14ac:dyDescent="0.45">
      <c r="A17" s="10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</row>
    <row r="18" spans="1:37" ht="13.5" customHeight="1" x14ac:dyDescent="0.45">
      <c r="A18" s="47" t="s">
        <v>11</v>
      </c>
      <c r="B18" s="49" t="s">
        <v>12</v>
      </c>
      <c r="C18" s="50"/>
      <c r="D18" s="50"/>
      <c r="E18" s="50"/>
      <c r="F18" s="50"/>
      <c r="G18" s="50"/>
      <c r="H18" s="47" t="s">
        <v>13</v>
      </c>
      <c r="I18" s="47" t="s">
        <v>14</v>
      </c>
      <c r="J18" s="49" t="s">
        <v>15</v>
      </c>
      <c r="K18" s="49" t="s">
        <v>16</v>
      </c>
      <c r="L18" s="54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</row>
    <row r="19" spans="1:37" ht="13.5" customHeight="1" x14ac:dyDescent="0.45">
      <c r="A19" s="48"/>
      <c r="B19" s="51"/>
      <c r="C19" s="52"/>
      <c r="D19" s="52"/>
      <c r="E19" s="52"/>
      <c r="F19" s="52"/>
      <c r="G19" s="52"/>
      <c r="H19" s="53"/>
      <c r="I19" s="53"/>
      <c r="J19" s="51"/>
      <c r="K19" s="51"/>
      <c r="L19" s="55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</row>
    <row r="20" spans="1:37" ht="18.75" customHeight="1" x14ac:dyDescent="0.45">
      <c r="A20" s="11">
        <v>1</v>
      </c>
      <c r="B20" s="56" t="s">
        <v>41</v>
      </c>
      <c r="C20" s="57"/>
      <c r="D20" s="57"/>
      <c r="E20" s="57"/>
      <c r="F20" s="57"/>
      <c r="G20" s="58"/>
      <c r="H20" s="11">
        <v>3</v>
      </c>
      <c r="I20" s="12" t="s">
        <v>18</v>
      </c>
      <c r="J20" s="13">
        <v>750000</v>
      </c>
      <c r="K20" s="59">
        <f>SUM(J20*H20)</f>
        <v>2250000</v>
      </c>
      <c r="L20" s="60"/>
      <c r="O20" s="14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</row>
    <row r="21" spans="1:37" ht="18.75" customHeight="1" x14ac:dyDescent="0.45">
      <c r="A21" s="11"/>
      <c r="B21" s="56"/>
      <c r="C21" s="57"/>
      <c r="D21" s="57"/>
      <c r="E21" s="57"/>
      <c r="F21" s="57"/>
      <c r="G21" s="58"/>
      <c r="H21" s="11"/>
      <c r="I21" s="12"/>
      <c r="J21" s="13"/>
      <c r="K21" s="59"/>
      <c r="L21" s="60"/>
      <c r="O21" s="14"/>
    </row>
    <row r="22" spans="1:37" ht="18.75" customHeight="1" x14ac:dyDescent="0.45">
      <c r="A22" s="11"/>
      <c r="B22" s="18"/>
      <c r="C22" s="19"/>
      <c r="D22" s="19"/>
      <c r="E22" s="19"/>
      <c r="F22" s="19"/>
      <c r="G22" s="19"/>
      <c r="H22" s="29"/>
      <c r="I22" s="20"/>
      <c r="J22" s="15"/>
      <c r="K22" s="16"/>
      <c r="L22" s="17"/>
    </row>
    <row r="23" spans="1:37" ht="18.75" customHeight="1" x14ac:dyDescent="0.45">
      <c r="A23" s="11"/>
      <c r="B23" s="18"/>
      <c r="C23" s="19"/>
      <c r="D23" s="19"/>
      <c r="E23" s="19"/>
      <c r="F23" s="19"/>
      <c r="G23" s="19"/>
      <c r="H23" s="29"/>
      <c r="I23" s="21"/>
      <c r="J23" s="22"/>
      <c r="K23" s="16"/>
      <c r="L23" s="17"/>
    </row>
    <row r="24" spans="1:37" ht="18.75" customHeight="1" x14ac:dyDescent="0.45">
      <c r="A24" s="11"/>
      <c r="B24" s="18"/>
      <c r="C24" s="19"/>
      <c r="D24" s="19"/>
      <c r="E24" s="19"/>
      <c r="F24" s="19"/>
      <c r="G24" s="19"/>
      <c r="H24" s="29"/>
      <c r="I24" s="21"/>
      <c r="J24" s="13"/>
      <c r="K24" s="61"/>
      <c r="L24" s="62"/>
    </row>
    <row r="25" spans="1:37" ht="18.75" customHeight="1" x14ac:dyDescent="0.45">
      <c r="A25" s="11"/>
      <c r="B25" s="25"/>
      <c r="C25" s="26"/>
      <c r="D25" s="26"/>
      <c r="E25" s="26"/>
      <c r="F25" s="26"/>
      <c r="G25" s="26"/>
      <c r="H25" s="28"/>
      <c r="I25" s="21"/>
      <c r="J25" s="13"/>
      <c r="K25" s="45"/>
      <c r="L25" s="46"/>
    </row>
    <row r="26" spans="1:37" ht="18.75" customHeight="1" x14ac:dyDescent="0.45">
      <c r="A26" s="11"/>
      <c r="B26" s="25"/>
      <c r="C26" s="26"/>
      <c r="D26" s="26"/>
      <c r="E26" s="26"/>
      <c r="F26" s="26"/>
      <c r="G26" s="26"/>
      <c r="H26" s="28"/>
      <c r="I26" s="21"/>
      <c r="J26" s="13"/>
      <c r="K26" s="23"/>
      <c r="L26" s="24"/>
    </row>
    <row r="27" spans="1:37" ht="18.75" customHeight="1" x14ac:dyDescent="0.45">
      <c r="A27" s="11"/>
      <c r="B27" s="25"/>
      <c r="C27" s="26"/>
      <c r="D27" s="26"/>
      <c r="E27" s="26"/>
      <c r="F27" s="26"/>
      <c r="G27" s="26"/>
      <c r="H27" s="28"/>
      <c r="I27" s="21"/>
      <c r="J27" s="13"/>
      <c r="K27" s="23"/>
      <c r="L27" s="24"/>
    </row>
    <row r="28" spans="1:37" ht="18.75" customHeight="1" x14ac:dyDescent="0.45">
      <c r="A28" s="11"/>
      <c r="B28" s="25"/>
      <c r="C28" s="26"/>
      <c r="D28" s="26"/>
      <c r="E28" s="26"/>
      <c r="F28" s="26"/>
      <c r="G28" s="26"/>
      <c r="H28" s="28"/>
      <c r="I28" s="21"/>
      <c r="J28" s="13"/>
      <c r="K28" s="61"/>
      <c r="L28" s="62"/>
    </row>
    <row r="29" spans="1:37" ht="18.75" customHeight="1" x14ac:dyDescent="0.45">
      <c r="A29" s="11"/>
      <c r="B29" s="25"/>
      <c r="C29" s="26"/>
      <c r="D29" s="26"/>
      <c r="E29" s="26"/>
      <c r="F29" s="26"/>
      <c r="G29" s="26"/>
      <c r="H29" s="28"/>
      <c r="I29" s="21"/>
      <c r="J29" s="13"/>
      <c r="K29" s="23"/>
      <c r="L29" s="24"/>
    </row>
    <row r="30" spans="1:37" ht="18.75" customHeight="1" x14ac:dyDescent="0.45">
      <c r="A30" s="11"/>
      <c r="B30" s="63" t="s">
        <v>19</v>
      </c>
      <c r="C30" s="64"/>
      <c r="D30" s="64"/>
      <c r="E30" s="64"/>
      <c r="F30" s="64"/>
      <c r="G30" s="64"/>
      <c r="H30" s="64"/>
      <c r="I30" s="64"/>
      <c r="J30" s="65"/>
      <c r="K30" s="59">
        <f>SUM(K20:L29)</f>
        <v>2250000</v>
      </c>
      <c r="L30" s="60"/>
      <c r="M30" s="27"/>
    </row>
    <row r="31" spans="1:37" ht="7.5" customHeight="1" x14ac:dyDescent="0.45">
      <c r="A31" s="66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8"/>
      <c r="M31" s="27"/>
    </row>
    <row r="32" spans="1:37" ht="26.1" customHeight="1" x14ac:dyDescent="0.45">
      <c r="A32" s="69" t="s">
        <v>20</v>
      </c>
      <c r="B32" s="70"/>
      <c r="C32" s="70"/>
      <c r="D32" s="71"/>
      <c r="E32" s="72" t="s">
        <v>33</v>
      </c>
      <c r="F32" s="73"/>
      <c r="G32" s="49" t="s">
        <v>21</v>
      </c>
      <c r="H32" s="50"/>
      <c r="I32" s="54"/>
      <c r="J32" s="74" t="s">
        <v>22</v>
      </c>
      <c r="K32" s="75"/>
      <c r="L32" s="76"/>
    </row>
    <row r="33" spans="1:12" ht="26.25" customHeight="1" x14ac:dyDescent="0.45">
      <c r="A33" s="69" t="s">
        <v>23</v>
      </c>
      <c r="B33" s="70"/>
      <c r="C33" s="70"/>
      <c r="D33" s="71"/>
      <c r="E33" s="77" t="s">
        <v>32</v>
      </c>
      <c r="F33" s="78"/>
      <c r="G33" s="69" t="s">
        <v>24</v>
      </c>
      <c r="H33" s="70"/>
      <c r="I33" s="71"/>
      <c r="J33" s="79" t="s">
        <v>37</v>
      </c>
      <c r="K33" s="80"/>
      <c r="L33" s="81"/>
    </row>
    <row r="34" spans="1:12" ht="26.25" customHeight="1" x14ac:dyDescent="0.45">
      <c r="A34" s="69" t="s">
        <v>34</v>
      </c>
      <c r="B34" s="70"/>
      <c r="C34" s="70"/>
      <c r="D34" s="71"/>
      <c r="E34" s="82" t="s">
        <v>42</v>
      </c>
      <c r="F34" s="83"/>
      <c r="G34" s="69" t="s">
        <v>26</v>
      </c>
      <c r="H34" s="70"/>
      <c r="I34" s="71"/>
      <c r="J34" s="79" t="s">
        <v>37</v>
      </c>
      <c r="K34" s="80"/>
      <c r="L34" s="81"/>
    </row>
    <row r="35" spans="1:12" ht="26.25" customHeight="1" x14ac:dyDescent="0.45">
      <c r="A35" s="69" t="s">
        <v>27</v>
      </c>
      <c r="B35" s="70"/>
      <c r="C35" s="70"/>
      <c r="D35" s="71"/>
      <c r="E35" s="82" t="s">
        <v>25</v>
      </c>
      <c r="F35" s="83"/>
      <c r="G35" s="69" t="s">
        <v>28</v>
      </c>
      <c r="H35" s="70"/>
      <c r="I35" s="71"/>
      <c r="J35" s="85">
        <v>46123</v>
      </c>
      <c r="K35" s="86"/>
      <c r="L35" s="87"/>
    </row>
    <row r="36" spans="1:12" ht="18.75" customHeight="1" x14ac:dyDescent="0.45">
      <c r="A36" s="88" t="s">
        <v>29</v>
      </c>
      <c r="B36" s="91" t="s">
        <v>36</v>
      </c>
      <c r="C36" s="92"/>
      <c r="D36" s="92"/>
      <c r="E36" s="92"/>
      <c r="F36" s="92"/>
      <c r="G36" s="92"/>
      <c r="H36" s="92"/>
      <c r="I36" s="92"/>
      <c r="J36" s="92"/>
      <c r="K36" s="92"/>
      <c r="L36" s="93"/>
    </row>
    <row r="37" spans="1:12" ht="18.75" customHeight="1" x14ac:dyDescent="0.45">
      <c r="A37" s="89"/>
      <c r="B37" s="94" t="s">
        <v>47</v>
      </c>
      <c r="C37" s="95"/>
      <c r="D37" s="95"/>
      <c r="E37" s="95"/>
      <c r="F37" s="95"/>
      <c r="G37" s="95"/>
      <c r="H37" s="95"/>
      <c r="I37" s="95"/>
      <c r="J37" s="95"/>
      <c r="K37" s="95"/>
      <c r="L37" s="96"/>
    </row>
    <row r="38" spans="1:12" ht="18.75" customHeight="1" x14ac:dyDescent="0.45">
      <c r="A38" s="89"/>
      <c r="B38" s="94"/>
      <c r="C38" s="95"/>
      <c r="D38" s="95"/>
      <c r="E38" s="95"/>
      <c r="F38" s="95"/>
      <c r="G38" s="95"/>
      <c r="H38" s="95"/>
      <c r="I38" s="95"/>
      <c r="J38" s="95"/>
      <c r="K38" s="95"/>
      <c r="L38" s="96"/>
    </row>
    <row r="39" spans="1:12" ht="18.75" customHeight="1" x14ac:dyDescent="0.45">
      <c r="A39" s="89"/>
      <c r="B39" s="94"/>
      <c r="C39" s="95"/>
      <c r="D39" s="95"/>
      <c r="E39" s="95"/>
      <c r="F39" s="95"/>
      <c r="G39" s="95"/>
      <c r="H39" s="95"/>
      <c r="I39" s="95"/>
      <c r="J39" s="95"/>
      <c r="K39" s="95"/>
      <c r="L39" s="96"/>
    </row>
    <row r="40" spans="1:12" ht="18.75" customHeight="1" x14ac:dyDescent="0.45">
      <c r="A40" s="90"/>
      <c r="B40" s="97"/>
      <c r="C40" s="98"/>
      <c r="D40" s="98"/>
      <c r="E40" s="98"/>
      <c r="F40" s="98"/>
      <c r="G40" s="98"/>
      <c r="H40" s="98"/>
      <c r="I40" s="98"/>
      <c r="J40" s="98"/>
      <c r="K40" s="98"/>
      <c r="L40" s="99"/>
    </row>
    <row r="41" spans="1:12" ht="10.5" customHeight="1" x14ac:dyDescent="0.45"/>
    <row r="42" spans="1:12" ht="15.75" customHeight="1" x14ac:dyDescent="0.45">
      <c r="A42" s="84" t="s">
        <v>30</v>
      </c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</row>
    <row r="43" spans="1:12" ht="15.75" customHeight="1" x14ac:dyDescent="0.45">
      <c r="A43" s="84" t="s">
        <v>31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</row>
  </sheetData>
  <protectedRanges>
    <protectedRange sqref="F12 F16 E32:F32 A20:A30 B38:L40 E34:F35 G20:K21 B20:E21 B22:L30 J32:L35" name="範囲1"/>
    <protectedRange sqref="E33:F33" name="範囲1_2"/>
    <protectedRange sqref="B36:L36" name="範囲1_3"/>
    <protectedRange sqref="B37:L37" name="範囲1_1_1"/>
  </protectedRanges>
  <mergeCells count="53">
    <mergeCell ref="A42:L42"/>
    <mergeCell ref="A43:L43"/>
    <mergeCell ref="A35:D35"/>
    <mergeCell ref="E35:F35"/>
    <mergeCell ref="G35:I35"/>
    <mergeCell ref="J35:L35"/>
    <mergeCell ref="A36:A40"/>
    <mergeCell ref="B36:L36"/>
    <mergeCell ref="B37:L37"/>
    <mergeCell ref="B38:L38"/>
    <mergeCell ref="B39:L39"/>
    <mergeCell ref="B40:L40"/>
    <mergeCell ref="A33:D33"/>
    <mergeCell ref="E33:F33"/>
    <mergeCell ref="G33:I33"/>
    <mergeCell ref="J33:L33"/>
    <mergeCell ref="A34:D34"/>
    <mergeCell ref="E34:F34"/>
    <mergeCell ref="G34:I34"/>
    <mergeCell ref="J34:L34"/>
    <mergeCell ref="K28:L28"/>
    <mergeCell ref="B30:J30"/>
    <mergeCell ref="K30:L30"/>
    <mergeCell ref="A31:L31"/>
    <mergeCell ref="A32:D32"/>
    <mergeCell ref="E32:F32"/>
    <mergeCell ref="G32:I32"/>
    <mergeCell ref="J32:L32"/>
    <mergeCell ref="K25:L25"/>
    <mergeCell ref="A18:A19"/>
    <mergeCell ref="B18:G19"/>
    <mergeCell ref="H18:H19"/>
    <mergeCell ref="I18:I19"/>
    <mergeCell ref="J18:J19"/>
    <mergeCell ref="K18:L19"/>
    <mergeCell ref="B20:G20"/>
    <mergeCell ref="K20:L20"/>
    <mergeCell ref="B21:G21"/>
    <mergeCell ref="K21:L21"/>
    <mergeCell ref="K24:L24"/>
    <mergeCell ref="A16:E16"/>
    <mergeCell ref="F16:L16"/>
    <mergeCell ref="K1:L1"/>
    <mergeCell ref="A2:L2"/>
    <mergeCell ref="K3:L3"/>
    <mergeCell ref="A4:L4"/>
    <mergeCell ref="A5:G5"/>
    <mergeCell ref="A6:G6"/>
    <mergeCell ref="K11:K13"/>
    <mergeCell ref="L11:L13"/>
    <mergeCell ref="A12:E13"/>
    <mergeCell ref="F12:G13"/>
    <mergeCell ref="H12:H13"/>
  </mergeCells>
  <phoneticPr fontId="2"/>
  <hyperlinks>
    <hyperlink ref="E33" r:id="rId1" display="yuki_hattori@aim-info.co.jp" xr:uid="{425A9A62-AE76-4307-A9E5-A5CA9A40B1D3}"/>
  </hyperlinks>
  <printOptions horizontalCentered="1"/>
  <pageMargins left="0" right="0" top="0.15748031496062992" bottom="0.15748031496062992" header="0.31496062992125984" footer="0.31496062992125984"/>
  <pageSetup paperSize="9" scale="97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E0E83-C50A-4F92-AF99-ABB9E266AF35}">
  <dimension ref="A1:AK43"/>
  <sheetViews>
    <sheetView showGridLines="0" view="pageBreakPreview" topLeftCell="A20" zoomScaleNormal="100" zoomScaleSheetLayoutView="100" workbookViewId="0">
      <selection activeCell="E34" sqref="E34:F34"/>
    </sheetView>
  </sheetViews>
  <sheetFormatPr defaultColWidth="4.59765625" defaultRowHeight="13.2" x14ac:dyDescent="0.45"/>
  <cols>
    <col min="1" max="1" width="3.59765625" style="2" customWidth="1"/>
    <col min="2" max="2" width="3.09765625" style="2" bestFit="1" customWidth="1"/>
    <col min="3" max="4" width="4.59765625" style="2"/>
    <col min="5" max="5" width="9.09765625" style="2" customWidth="1"/>
    <col min="6" max="6" width="16.09765625" style="2" customWidth="1"/>
    <col min="7" max="7" width="3.59765625" style="2" customWidth="1"/>
    <col min="8" max="9" width="6.09765625" style="2" customWidth="1"/>
    <col min="10" max="10" width="13" style="2" customWidth="1"/>
    <col min="11" max="11" width="7.296875" style="2" customWidth="1"/>
    <col min="12" max="12" width="7.09765625" style="2" customWidth="1"/>
    <col min="13" max="13" width="4.59765625" style="2"/>
    <col min="14" max="14" width="8.296875" style="2" bestFit="1" customWidth="1"/>
    <col min="15" max="16384" width="4.59765625" style="2"/>
  </cols>
  <sheetData>
    <row r="1" spans="1:37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33" t="s">
        <v>46</v>
      </c>
      <c r="L1" s="34"/>
    </row>
    <row r="2" spans="1:37" ht="21" x14ac:dyDescent="0.45">
      <c r="A2" s="35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37" ht="13.5" customHeight="1" x14ac:dyDescent="0.45">
      <c r="A3" s="3"/>
      <c r="B3" s="3"/>
      <c r="C3" s="3"/>
      <c r="D3" s="3"/>
      <c r="E3" s="3"/>
      <c r="F3" s="3"/>
      <c r="G3" s="3"/>
      <c r="H3" s="3"/>
      <c r="I3" s="3"/>
      <c r="J3" s="3"/>
      <c r="K3" s="36">
        <v>46097</v>
      </c>
      <c r="L3" s="36"/>
    </row>
    <row r="4" spans="1:37" x14ac:dyDescent="0.45">
      <c r="A4" s="37" t="s">
        <v>1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37" ht="19.5" customHeight="1" x14ac:dyDescent="0.45">
      <c r="A5" s="38"/>
      <c r="B5" s="38"/>
      <c r="C5" s="38"/>
      <c r="D5" s="38"/>
      <c r="E5" s="38"/>
      <c r="F5" s="38"/>
      <c r="G5" s="38"/>
    </row>
    <row r="6" spans="1:37" ht="19.5" customHeight="1" x14ac:dyDescent="0.45">
      <c r="A6" s="38" t="s">
        <v>2</v>
      </c>
      <c r="B6" s="38"/>
      <c r="C6" s="38"/>
      <c r="D6" s="38"/>
      <c r="E6" s="38"/>
      <c r="F6" s="38"/>
      <c r="G6" s="38"/>
    </row>
    <row r="7" spans="1:37" ht="36.75" customHeight="1" x14ac:dyDescent="0.45">
      <c r="A7" s="3"/>
      <c r="D7" s="4" t="s">
        <v>3</v>
      </c>
      <c r="E7" s="3"/>
      <c r="F7" s="3"/>
      <c r="G7" s="3"/>
      <c r="H7" s="3"/>
      <c r="I7" s="3"/>
      <c r="J7" s="3"/>
      <c r="K7" s="3"/>
      <c r="L7" s="3"/>
    </row>
    <row r="8" spans="1:37" ht="36.75" customHeight="1" x14ac:dyDescent="0.45"/>
    <row r="9" spans="1:37" ht="35.25" customHeight="1" x14ac:dyDescent="0.45">
      <c r="A9" s="5" t="s">
        <v>4</v>
      </c>
    </row>
    <row r="10" spans="1:37" ht="14.25" customHeight="1" x14ac:dyDescent="0.45">
      <c r="A10" s="5"/>
      <c r="K10" s="6" t="s">
        <v>5</v>
      </c>
      <c r="L10" s="6" t="s">
        <v>6</v>
      </c>
    </row>
    <row r="11" spans="1:37" ht="8.5500000000000007" customHeight="1" x14ac:dyDescent="0.45">
      <c r="A11" s="5"/>
      <c r="K11" s="39"/>
      <c r="L11" s="39"/>
    </row>
    <row r="12" spans="1:37" ht="18" customHeight="1" x14ac:dyDescent="0.45">
      <c r="A12" s="40" t="s">
        <v>7</v>
      </c>
      <c r="B12" s="40"/>
      <c r="C12" s="40"/>
      <c r="D12" s="40"/>
      <c r="E12" s="40"/>
      <c r="F12" s="42">
        <f>K30</f>
        <v>2100000</v>
      </c>
      <c r="G12" s="42"/>
      <c r="H12" s="44" t="s">
        <v>8</v>
      </c>
      <c r="I12" s="1"/>
      <c r="J12" s="1"/>
      <c r="K12" s="39"/>
      <c r="L12" s="39"/>
    </row>
    <row r="13" spans="1:37" ht="13.5" customHeight="1" thickBot="1" x14ac:dyDescent="0.5">
      <c r="A13" s="41"/>
      <c r="B13" s="41"/>
      <c r="C13" s="41"/>
      <c r="D13" s="41"/>
      <c r="E13" s="41"/>
      <c r="F13" s="43"/>
      <c r="G13" s="43"/>
      <c r="H13" s="44"/>
      <c r="J13" s="1"/>
      <c r="K13" s="39"/>
      <c r="L13" s="39"/>
    </row>
    <row r="14" spans="1:37" ht="13.5" customHeight="1" x14ac:dyDescent="0.45">
      <c r="A14" s="7"/>
      <c r="B14" s="7"/>
      <c r="C14" s="7"/>
      <c r="D14" s="7"/>
      <c r="E14" s="7"/>
      <c r="F14" s="8"/>
      <c r="G14" s="8"/>
      <c r="H14" s="8"/>
      <c r="I14" s="1"/>
      <c r="J14" s="1"/>
    </row>
    <row r="15" spans="1:37" ht="11.25" customHeight="1" x14ac:dyDescent="0.4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37" ht="32.25" customHeight="1" x14ac:dyDescent="0.45">
      <c r="A16" s="31" t="s">
        <v>9</v>
      </c>
      <c r="B16" s="31"/>
      <c r="C16" s="31"/>
      <c r="D16" s="31"/>
      <c r="E16" s="31"/>
      <c r="F16" s="32" t="s">
        <v>39</v>
      </c>
      <c r="G16" s="32"/>
      <c r="H16" s="32"/>
      <c r="I16" s="32"/>
      <c r="J16" s="32"/>
      <c r="K16" s="32"/>
      <c r="L16" s="32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</row>
    <row r="17" spans="1:37" x14ac:dyDescent="0.45">
      <c r="A17" s="10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</row>
    <row r="18" spans="1:37" ht="13.5" customHeight="1" x14ac:dyDescent="0.45">
      <c r="A18" s="47" t="s">
        <v>11</v>
      </c>
      <c r="B18" s="49" t="s">
        <v>12</v>
      </c>
      <c r="C18" s="50"/>
      <c r="D18" s="50"/>
      <c r="E18" s="50"/>
      <c r="F18" s="50"/>
      <c r="G18" s="50"/>
      <c r="H18" s="47" t="s">
        <v>13</v>
      </c>
      <c r="I18" s="47" t="s">
        <v>14</v>
      </c>
      <c r="J18" s="49" t="s">
        <v>15</v>
      </c>
      <c r="K18" s="49" t="s">
        <v>16</v>
      </c>
      <c r="L18" s="54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</row>
    <row r="19" spans="1:37" ht="13.5" customHeight="1" x14ac:dyDescent="0.45">
      <c r="A19" s="48"/>
      <c r="B19" s="51"/>
      <c r="C19" s="52"/>
      <c r="D19" s="52"/>
      <c r="E19" s="52"/>
      <c r="F19" s="52"/>
      <c r="G19" s="52"/>
      <c r="H19" s="53"/>
      <c r="I19" s="53"/>
      <c r="J19" s="51"/>
      <c r="K19" s="51"/>
      <c r="L19" s="55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</row>
    <row r="20" spans="1:37" ht="18.75" customHeight="1" x14ac:dyDescent="0.45">
      <c r="A20" s="11">
        <v>1</v>
      </c>
      <c r="B20" s="56" t="s">
        <v>45</v>
      </c>
      <c r="C20" s="57"/>
      <c r="D20" s="57"/>
      <c r="E20" s="57"/>
      <c r="F20" s="57"/>
      <c r="G20" s="58"/>
      <c r="H20" s="11">
        <v>3</v>
      </c>
      <c r="I20" s="12" t="s">
        <v>18</v>
      </c>
      <c r="J20" s="13">
        <v>700000</v>
      </c>
      <c r="K20" s="59">
        <f>SUM(J20*H20)</f>
        <v>2100000</v>
      </c>
      <c r="L20" s="60"/>
      <c r="O20" s="14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</row>
    <row r="21" spans="1:37" ht="18.75" customHeight="1" x14ac:dyDescent="0.45">
      <c r="A21" s="11"/>
      <c r="B21" s="56"/>
      <c r="C21" s="57"/>
      <c r="D21" s="57"/>
      <c r="E21" s="57"/>
      <c r="F21" s="57"/>
      <c r="G21" s="58"/>
      <c r="H21" s="11"/>
      <c r="I21" s="12"/>
      <c r="J21" s="13"/>
      <c r="K21" s="59"/>
      <c r="L21" s="60"/>
      <c r="O21" s="14"/>
    </row>
    <row r="22" spans="1:37" ht="18.75" customHeight="1" x14ac:dyDescent="0.45">
      <c r="A22" s="11"/>
      <c r="B22" s="18"/>
      <c r="C22" s="19"/>
      <c r="D22" s="19"/>
      <c r="E22" s="19"/>
      <c r="F22" s="19"/>
      <c r="G22" s="19"/>
      <c r="H22" s="29"/>
      <c r="I22" s="20"/>
      <c r="J22" s="15"/>
      <c r="K22" s="16"/>
      <c r="L22" s="17"/>
    </row>
    <row r="23" spans="1:37" ht="18.75" customHeight="1" x14ac:dyDescent="0.45">
      <c r="A23" s="11"/>
      <c r="B23" s="18"/>
      <c r="C23" s="19"/>
      <c r="D23" s="19"/>
      <c r="E23" s="19"/>
      <c r="F23" s="19"/>
      <c r="G23" s="19"/>
      <c r="H23" s="29"/>
      <c r="I23" s="21"/>
      <c r="J23" s="22"/>
      <c r="K23" s="16"/>
      <c r="L23" s="17"/>
    </row>
    <row r="24" spans="1:37" ht="18.75" customHeight="1" x14ac:dyDescent="0.45">
      <c r="A24" s="11"/>
      <c r="B24" s="18"/>
      <c r="C24" s="19"/>
      <c r="D24" s="19"/>
      <c r="E24" s="19"/>
      <c r="F24" s="19"/>
      <c r="G24" s="19"/>
      <c r="H24" s="29"/>
      <c r="I24" s="21"/>
      <c r="J24" s="13"/>
      <c r="K24" s="61"/>
      <c r="L24" s="62"/>
    </row>
    <row r="25" spans="1:37" ht="18.75" customHeight="1" x14ac:dyDescent="0.45">
      <c r="A25" s="11"/>
      <c r="B25" s="25"/>
      <c r="C25" s="26"/>
      <c r="D25" s="26"/>
      <c r="E25" s="26"/>
      <c r="F25" s="26"/>
      <c r="G25" s="26"/>
      <c r="H25" s="28"/>
      <c r="I25" s="21"/>
      <c r="J25" s="13"/>
      <c r="K25" s="45"/>
      <c r="L25" s="46"/>
    </row>
    <row r="26" spans="1:37" ht="18.75" customHeight="1" x14ac:dyDescent="0.45">
      <c r="A26" s="11"/>
      <c r="B26" s="25"/>
      <c r="C26" s="26"/>
      <c r="D26" s="26"/>
      <c r="E26" s="26"/>
      <c r="F26" s="26"/>
      <c r="G26" s="26"/>
      <c r="H26" s="28"/>
      <c r="I26" s="21"/>
      <c r="J26" s="13"/>
      <c r="K26" s="23"/>
      <c r="L26" s="24"/>
    </row>
    <row r="27" spans="1:37" ht="18.75" customHeight="1" x14ac:dyDescent="0.45">
      <c r="A27" s="11"/>
      <c r="B27" s="25"/>
      <c r="C27" s="26"/>
      <c r="D27" s="26"/>
      <c r="E27" s="26"/>
      <c r="F27" s="26"/>
      <c r="G27" s="26"/>
      <c r="H27" s="28"/>
      <c r="I27" s="21"/>
      <c r="J27" s="13"/>
      <c r="K27" s="23"/>
      <c r="L27" s="24"/>
    </row>
    <row r="28" spans="1:37" ht="18.75" customHeight="1" x14ac:dyDescent="0.45">
      <c r="A28" s="11"/>
      <c r="B28" s="25"/>
      <c r="C28" s="26"/>
      <c r="D28" s="26"/>
      <c r="E28" s="26"/>
      <c r="F28" s="26"/>
      <c r="G28" s="26"/>
      <c r="H28" s="28"/>
      <c r="I28" s="21"/>
      <c r="J28" s="13"/>
      <c r="K28" s="61"/>
      <c r="L28" s="62"/>
    </row>
    <row r="29" spans="1:37" ht="18.75" customHeight="1" x14ac:dyDescent="0.45">
      <c r="A29" s="11"/>
      <c r="B29" s="25"/>
      <c r="C29" s="26"/>
      <c r="D29" s="26"/>
      <c r="E29" s="26"/>
      <c r="F29" s="26"/>
      <c r="G29" s="26"/>
      <c r="H29" s="28"/>
      <c r="I29" s="21"/>
      <c r="J29" s="13"/>
      <c r="K29" s="23"/>
      <c r="L29" s="24"/>
    </row>
    <row r="30" spans="1:37" ht="18.75" customHeight="1" x14ac:dyDescent="0.45">
      <c r="A30" s="11"/>
      <c r="B30" s="63" t="s">
        <v>19</v>
      </c>
      <c r="C30" s="64"/>
      <c r="D30" s="64"/>
      <c r="E30" s="64"/>
      <c r="F30" s="64"/>
      <c r="G30" s="64"/>
      <c r="H30" s="64"/>
      <c r="I30" s="64"/>
      <c r="J30" s="65"/>
      <c r="K30" s="59">
        <f>SUM(K20:L29)</f>
        <v>2100000</v>
      </c>
      <c r="L30" s="60"/>
      <c r="M30" s="27"/>
    </row>
    <row r="31" spans="1:37" ht="7.5" customHeight="1" x14ac:dyDescent="0.45">
      <c r="A31" s="66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8"/>
      <c r="M31" s="27"/>
    </row>
    <row r="32" spans="1:37" ht="26.1" customHeight="1" x14ac:dyDescent="0.45">
      <c r="A32" s="69" t="s">
        <v>20</v>
      </c>
      <c r="B32" s="70"/>
      <c r="C32" s="70"/>
      <c r="D32" s="71"/>
      <c r="E32" s="72" t="s">
        <v>33</v>
      </c>
      <c r="F32" s="73"/>
      <c r="G32" s="49" t="s">
        <v>21</v>
      </c>
      <c r="H32" s="50"/>
      <c r="I32" s="54"/>
      <c r="J32" s="74" t="s">
        <v>22</v>
      </c>
      <c r="K32" s="75"/>
      <c r="L32" s="76"/>
    </row>
    <row r="33" spans="1:12" ht="26.25" customHeight="1" x14ac:dyDescent="0.45">
      <c r="A33" s="69" t="s">
        <v>23</v>
      </c>
      <c r="B33" s="70"/>
      <c r="C33" s="70"/>
      <c r="D33" s="71"/>
      <c r="E33" s="77" t="s">
        <v>32</v>
      </c>
      <c r="F33" s="78"/>
      <c r="G33" s="69" t="s">
        <v>24</v>
      </c>
      <c r="H33" s="70"/>
      <c r="I33" s="71"/>
      <c r="J33" s="79" t="s">
        <v>37</v>
      </c>
      <c r="K33" s="80"/>
      <c r="L33" s="81"/>
    </row>
    <row r="34" spans="1:12" ht="26.25" customHeight="1" x14ac:dyDescent="0.45">
      <c r="A34" s="69" t="s">
        <v>34</v>
      </c>
      <c r="B34" s="70"/>
      <c r="C34" s="70"/>
      <c r="D34" s="71"/>
      <c r="E34" s="82" t="s">
        <v>44</v>
      </c>
      <c r="F34" s="83"/>
      <c r="G34" s="69" t="s">
        <v>26</v>
      </c>
      <c r="H34" s="70"/>
      <c r="I34" s="71"/>
      <c r="J34" s="79" t="s">
        <v>37</v>
      </c>
      <c r="K34" s="80"/>
      <c r="L34" s="81"/>
    </row>
    <row r="35" spans="1:12" ht="26.25" customHeight="1" x14ac:dyDescent="0.45">
      <c r="A35" s="69" t="s">
        <v>27</v>
      </c>
      <c r="B35" s="70"/>
      <c r="C35" s="70"/>
      <c r="D35" s="71"/>
      <c r="E35" s="82" t="s">
        <v>25</v>
      </c>
      <c r="F35" s="83"/>
      <c r="G35" s="69" t="s">
        <v>28</v>
      </c>
      <c r="H35" s="70"/>
      <c r="I35" s="71"/>
      <c r="J35" s="85">
        <v>46123</v>
      </c>
      <c r="K35" s="86"/>
      <c r="L35" s="87"/>
    </row>
    <row r="36" spans="1:12" ht="18.75" customHeight="1" x14ac:dyDescent="0.45">
      <c r="A36" s="88" t="s">
        <v>29</v>
      </c>
      <c r="B36" s="91" t="s">
        <v>36</v>
      </c>
      <c r="C36" s="92"/>
      <c r="D36" s="92"/>
      <c r="E36" s="92"/>
      <c r="F36" s="92"/>
      <c r="G36" s="92"/>
      <c r="H36" s="92"/>
      <c r="I36" s="92"/>
      <c r="J36" s="92"/>
      <c r="K36" s="92"/>
      <c r="L36" s="93"/>
    </row>
    <row r="37" spans="1:12" ht="18.75" customHeight="1" x14ac:dyDescent="0.45">
      <c r="A37" s="89"/>
      <c r="B37" s="94" t="s">
        <v>47</v>
      </c>
      <c r="C37" s="95"/>
      <c r="D37" s="95"/>
      <c r="E37" s="95"/>
      <c r="F37" s="95"/>
      <c r="G37" s="95"/>
      <c r="H37" s="95"/>
      <c r="I37" s="95"/>
      <c r="J37" s="95"/>
      <c r="K37" s="95"/>
      <c r="L37" s="96"/>
    </row>
    <row r="38" spans="1:12" ht="18.75" customHeight="1" x14ac:dyDescent="0.45">
      <c r="A38" s="89"/>
      <c r="B38" s="94"/>
      <c r="C38" s="95"/>
      <c r="D38" s="95"/>
      <c r="E38" s="95"/>
      <c r="F38" s="95"/>
      <c r="G38" s="95"/>
      <c r="H38" s="95"/>
      <c r="I38" s="95"/>
      <c r="J38" s="95"/>
      <c r="K38" s="95"/>
      <c r="L38" s="96"/>
    </row>
    <row r="39" spans="1:12" ht="18.75" customHeight="1" x14ac:dyDescent="0.45">
      <c r="A39" s="89"/>
      <c r="B39" s="94"/>
      <c r="C39" s="95"/>
      <c r="D39" s="95"/>
      <c r="E39" s="95"/>
      <c r="F39" s="95"/>
      <c r="G39" s="95"/>
      <c r="H39" s="95"/>
      <c r="I39" s="95"/>
      <c r="J39" s="95"/>
      <c r="K39" s="95"/>
      <c r="L39" s="96"/>
    </row>
    <row r="40" spans="1:12" ht="18.75" customHeight="1" x14ac:dyDescent="0.45">
      <c r="A40" s="90"/>
      <c r="B40" s="97"/>
      <c r="C40" s="98"/>
      <c r="D40" s="98"/>
      <c r="E40" s="98"/>
      <c r="F40" s="98"/>
      <c r="G40" s="98"/>
      <c r="H40" s="98"/>
      <c r="I40" s="98"/>
      <c r="J40" s="98"/>
      <c r="K40" s="98"/>
      <c r="L40" s="99"/>
    </row>
    <row r="41" spans="1:12" ht="10.5" customHeight="1" x14ac:dyDescent="0.45"/>
    <row r="42" spans="1:12" ht="15.75" customHeight="1" x14ac:dyDescent="0.45">
      <c r="A42" s="84" t="s">
        <v>30</v>
      </c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</row>
    <row r="43" spans="1:12" ht="15.75" customHeight="1" x14ac:dyDescent="0.45">
      <c r="A43" s="84" t="s">
        <v>31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</row>
  </sheetData>
  <protectedRanges>
    <protectedRange sqref="F12 F16 E32:F32 A20:A30 B38:L40 E34:F35 G20:K21 B20:E21 B22:L30 J32:L35" name="範囲1"/>
    <protectedRange sqref="E33:F33" name="範囲1_2"/>
    <protectedRange sqref="B36:L36" name="範囲1_3"/>
    <protectedRange sqref="B37:L37" name="範囲1_1_1"/>
  </protectedRanges>
  <mergeCells count="53">
    <mergeCell ref="A42:L42"/>
    <mergeCell ref="A43:L43"/>
    <mergeCell ref="A35:D35"/>
    <mergeCell ref="E35:F35"/>
    <mergeCell ref="G35:I35"/>
    <mergeCell ref="J35:L35"/>
    <mergeCell ref="A36:A40"/>
    <mergeCell ref="B36:L36"/>
    <mergeCell ref="B37:L37"/>
    <mergeCell ref="B38:L38"/>
    <mergeCell ref="B39:L39"/>
    <mergeCell ref="B40:L40"/>
    <mergeCell ref="A33:D33"/>
    <mergeCell ref="E33:F33"/>
    <mergeCell ref="G33:I33"/>
    <mergeCell ref="J33:L33"/>
    <mergeCell ref="A34:D34"/>
    <mergeCell ref="E34:F34"/>
    <mergeCell ref="G34:I34"/>
    <mergeCell ref="J34:L34"/>
    <mergeCell ref="K28:L28"/>
    <mergeCell ref="B30:J30"/>
    <mergeCell ref="K30:L30"/>
    <mergeCell ref="A31:L31"/>
    <mergeCell ref="A32:D32"/>
    <mergeCell ref="E32:F32"/>
    <mergeCell ref="G32:I32"/>
    <mergeCell ref="J32:L32"/>
    <mergeCell ref="K25:L25"/>
    <mergeCell ref="A18:A19"/>
    <mergeCell ref="B18:G19"/>
    <mergeCell ref="H18:H19"/>
    <mergeCell ref="I18:I19"/>
    <mergeCell ref="J18:J19"/>
    <mergeCell ref="K18:L19"/>
    <mergeCell ref="B20:G20"/>
    <mergeCell ref="K20:L20"/>
    <mergeCell ref="B21:G21"/>
    <mergeCell ref="K21:L21"/>
    <mergeCell ref="K24:L24"/>
    <mergeCell ref="A16:E16"/>
    <mergeCell ref="F16:L16"/>
    <mergeCell ref="K1:L1"/>
    <mergeCell ref="A2:L2"/>
    <mergeCell ref="K3:L3"/>
    <mergeCell ref="A4:L4"/>
    <mergeCell ref="A5:G5"/>
    <mergeCell ref="A6:G6"/>
    <mergeCell ref="K11:K13"/>
    <mergeCell ref="L11:L13"/>
    <mergeCell ref="A12:E13"/>
    <mergeCell ref="F12:G13"/>
    <mergeCell ref="H12:H13"/>
  </mergeCells>
  <phoneticPr fontId="2"/>
  <hyperlinks>
    <hyperlink ref="E33" r:id="rId1" display="yuki_hattori@aim-info.co.jp" xr:uid="{B2065E3A-C745-4B59-B26A-EAA0701F147E}"/>
  </hyperlinks>
  <printOptions horizontalCentered="1"/>
  <pageMargins left="0" right="0" top="0.15748031496062992" bottom="0.15748031496062992" header="0.31496062992125984" footer="0.31496062992125984"/>
  <pageSetup paperSize="9" scale="9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渡邉慶</vt:lpstr>
      <vt:lpstr>鈴木 一嘉</vt:lpstr>
      <vt:lpstr>岡 貴彦</vt:lpstr>
      <vt:lpstr>近藤 匠</vt:lpstr>
      <vt:lpstr>山田 隆一</vt:lpstr>
      <vt:lpstr>'岡 貴彦'!Print_Area</vt:lpstr>
      <vt:lpstr>'近藤 匠'!Print_Area</vt:lpstr>
      <vt:lpstr>'山田 隆一'!Print_Area</vt:lpstr>
      <vt:lpstr>渡邉慶!Print_Area</vt:lpstr>
      <vt:lpstr>'鈴木 一嘉'!Print_Area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MBD-PC-010</dc:creator>
  <cp:keywords/>
  <dc:description/>
  <cp:lastModifiedBy>澤田 朱里</cp:lastModifiedBy>
  <cp:revision/>
  <cp:lastPrinted>2026-06-11T01:20:34Z</cp:lastPrinted>
  <dcterms:created xsi:type="dcterms:W3CDTF">2020-09-07T01:05:42Z</dcterms:created>
  <dcterms:modified xsi:type="dcterms:W3CDTF">2026-06-11T02:53:51Z</dcterms:modified>
  <cp:category/>
  <cp:contentStatus/>
</cp:coreProperties>
</file>