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kuy\Desktop\前提データ\手作業データ\"/>
    </mc:Choice>
  </mc:AlternateContent>
  <xr:revisionPtr revIDLastSave="0" documentId="13_ncr:1_{B87360B3-C125-4CAD-B242-17C8293E6CF2}" xr6:coauthVersionLast="47" xr6:coauthVersionMax="47" xr10:uidLastSave="{00000000-0000-0000-0000-000000000000}"/>
  <bookViews>
    <workbookView xWindow="-108" yWindow="-108" windowWidth="23256" windowHeight="12456" tabRatio="872" activeTab="7" xr2:uid="{00000000-000D-0000-FFFF-FFFF00000000}"/>
  </bookViews>
  <sheets>
    <sheet name="見積・請求書→" sheetId="14" r:id="rId1"/>
    <sheet name="トヨタ紡織→" sheetId="1" r:id="rId2"/>
    <sheet name="A1" sheetId="20" r:id="rId3"/>
    <sheet name="A11" sheetId="16" r:id="rId4"/>
    <sheet name="A12" sheetId="17" r:id="rId5"/>
    <sheet name="A13" sheetId="18" state="hidden" r:id="rId6"/>
    <sheet name="A2" sheetId="15" state="hidden" r:id="rId7"/>
    <sheet name="A3" sheetId="19" r:id="rId8"/>
    <sheet name="A4" sheetId="36" r:id="rId9"/>
    <sheet name="Fr骨格" sheetId="22" r:id="rId10"/>
    <sheet name="Rr骨格" sheetId="23" r:id="rId11"/>
    <sheet name="GS" sheetId="26" r:id="rId12"/>
    <sheet name="BX→ｼｰﾄﾃﾞﾊﾞｲｽ" sheetId="24" r:id="rId13"/>
    <sheet name="ND" sheetId="28" r:id="rId14"/>
    <sheet name="ACT" sheetId="21" r:id="rId15"/>
    <sheet name="NT" sheetId="27" r:id="rId16"/>
    <sheet name="内外装先行開発部" sheetId="32" r:id="rId17"/>
    <sheet name="内外装実験部" sheetId="35" r:id="rId18"/>
    <sheet name="SH→設計品質改善室" sheetId="25" r:id="rId19"/>
    <sheet name="技管" sheetId="37" r:id="rId20"/>
    <sheet name="デザイン部" sheetId="38" r:id="rId21"/>
    <sheet name="空間ビジョニアリング部" sheetId="39" r:id="rId22"/>
    <sheet name="シート計画部　SAT推進室" sheetId="40" r:id="rId23"/>
    <sheet name="TBEU" sheetId="33" r:id="rId24"/>
    <sheet name="内外装部品センター" sheetId="31" state="hidden" r:id="rId25"/>
    <sheet name="注文書(外注・物品購入)" sheetId="6" r:id="rId26"/>
    <sheet name="委託プロジェクトコード" sheetId="30" r:id="rId27"/>
    <sheet name="支払い時期に関して" sheetId="9" r:id="rId28"/>
    <sheet name="採番ルール" sheetId="4" r:id="rId29"/>
    <sheet name="タスク" sheetId="3" r:id="rId30"/>
    <sheet name="確認用" sheetId="34" r:id="rId31"/>
  </sheets>
  <externalReferences>
    <externalReference r:id="rId32"/>
  </externalReferences>
  <definedNames>
    <definedName name="_xlnm._FilterDatabase" localSheetId="2" hidden="1">'A1'!$A$3:$K$4</definedName>
    <definedName name="_xlnm._FilterDatabase" localSheetId="3" hidden="1">'A11'!$A$3:$K$5</definedName>
    <definedName name="_xlnm._FilterDatabase" localSheetId="4" hidden="1">'A12'!$A$3:$K$6</definedName>
    <definedName name="_xlnm._FilterDatabase" localSheetId="5" hidden="1">'A13'!$A$3:$K$8</definedName>
    <definedName name="_xlnm._FilterDatabase" localSheetId="6" hidden="1">'A2'!$A$3:$K$4</definedName>
    <definedName name="_xlnm._FilterDatabase" localSheetId="7" hidden="1">'A3'!$A$3:$K$9</definedName>
    <definedName name="_xlnm._FilterDatabase" localSheetId="8" hidden="1">'A4'!$A$3:$K$9</definedName>
    <definedName name="_xlnm._FilterDatabase" localSheetId="14" hidden="1">ACT!$A$3:$K$4</definedName>
    <definedName name="_xlnm._FilterDatabase" localSheetId="12" hidden="1">BX→ｼｰﾄﾃﾞﾊﾞｲｽ!$A$3:$K$4</definedName>
    <definedName name="_xlnm._FilterDatabase" localSheetId="9" hidden="1">Fr骨格!$A$3:$K$5</definedName>
    <definedName name="_xlnm._FilterDatabase" localSheetId="11" hidden="1">GS!$A$3:$K$15</definedName>
    <definedName name="_xlnm._FilterDatabase" localSheetId="13" hidden="1">ND!$A$3:$K$6</definedName>
    <definedName name="_xlnm._FilterDatabase" localSheetId="15" hidden="1">NT!$A$3:$K$5</definedName>
    <definedName name="_xlnm._FilterDatabase" localSheetId="10" hidden="1">Rr骨格!$A$3:$K$5</definedName>
    <definedName name="_xlnm._FilterDatabase" localSheetId="18" hidden="1">SH→設計品質改善室!$A$3:$K$4</definedName>
    <definedName name="_xlnm._FilterDatabase" localSheetId="23" hidden="1">TBEU!$A$3:$K$4</definedName>
    <definedName name="_xlnm._FilterDatabase" localSheetId="22" hidden="1">'シート計画部　SAT推進室'!$A$3:$K$4</definedName>
    <definedName name="_xlnm._FilterDatabase" localSheetId="20" hidden="1">デザイン部!$A$3:$K$4</definedName>
    <definedName name="_xlnm._FilterDatabase" localSheetId="1" hidden="1">トヨタ紡織→!$A$3:$K$6</definedName>
    <definedName name="_xlnm._FilterDatabase" localSheetId="26" hidden="1">委託プロジェクトコード!$B$4:$F$4</definedName>
    <definedName name="_xlnm._FilterDatabase" localSheetId="19" hidden="1">技管!$A$3:$K$4</definedName>
    <definedName name="_xlnm._FilterDatabase" localSheetId="21" hidden="1">空間ビジョニアリング部!$A$3:$K$4</definedName>
    <definedName name="_xlnm._FilterDatabase" localSheetId="17" hidden="1">内外装実験部!$A$3:$K$4</definedName>
    <definedName name="_xlnm._FilterDatabase" localSheetId="16" hidden="1">内外装先行開発部!$A$3:$K$4</definedName>
    <definedName name="_xlnm._FilterDatabase" localSheetId="24" hidden="1">内外装部品センター!$A$3:$K$4</definedName>
    <definedName name="_xlnm.Print_Area" localSheetId="2">'A1'!#REF!</definedName>
    <definedName name="_xlnm.Print_Area" localSheetId="3">'A11'!#REF!</definedName>
    <definedName name="_xlnm.Print_Area" localSheetId="4">'A12'!#REF!</definedName>
    <definedName name="_xlnm.Print_Area" localSheetId="5">'A13'!#REF!</definedName>
    <definedName name="_xlnm.Print_Area" localSheetId="6">'A2'!#REF!</definedName>
    <definedName name="_xlnm.Print_Area" localSheetId="7">'A3'!#REF!</definedName>
    <definedName name="_xlnm.Print_Area" localSheetId="8">'A4'!#REF!</definedName>
    <definedName name="_xlnm.Print_Area" localSheetId="14">ACT!#REF!</definedName>
    <definedName name="_xlnm.Print_Area" localSheetId="12">BX→ｼｰﾄﾃﾞﾊﾞｲｽ!#REF!</definedName>
    <definedName name="_xlnm.Print_Area" localSheetId="9">Fr骨格!#REF!</definedName>
    <definedName name="_xlnm.Print_Area" localSheetId="11">GS!#REF!</definedName>
    <definedName name="_xlnm.Print_Area" localSheetId="13">ND!#REF!</definedName>
    <definedName name="_xlnm.Print_Area" localSheetId="15">NT!#REF!</definedName>
    <definedName name="_xlnm.Print_Area" localSheetId="10">Rr骨格!#REF!</definedName>
    <definedName name="_xlnm.Print_Area" localSheetId="18">SH→設計品質改善室!#REF!</definedName>
    <definedName name="_xlnm.Print_Area" localSheetId="23">TBEU!#REF!</definedName>
    <definedName name="_xlnm.Print_Area" localSheetId="22">'シート計画部　SAT推進室'!#REF!</definedName>
    <definedName name="_xlnm.Print_Area" localSheetId="20">デザイン部!#REF!</definedName>
    <definedName name="_xlnm.Print_Area" localSheetId="1">トヨタ紡織→!#REF!</definedName>
    <definedName name="_xlnm.Print_Area" localSheetId="26">委託プロジェクトコード!$B$1:$H$51</definedName>
    <definedName name="_xlnm.Print_Area" localSheetId="19">技管!#REF!</definedName>
    <definedName name="_xlnm.Print_Area" localSheetId="21">空間ビジョニアリング部!#REF!</definedName>
    <definedName name="_xlnm.Print_Area" localSheetId="27">支払い時期に関して!$A$1:$G$24</definedName>
    <definedName name="_xlnm.Print_Area" localSheetId="17">内外装実験部!#REF!</definedName>
    <definedName name="_xlnm.Print_Area" localSheetId="16">内外装先行開発部!#REF!</definedName>
    <definedName name="_xlnm.Print_Area" localSheetId="24">内外装部品センター!#REF!</definedName>
    <definedName name="_xlnm.Print_Titles" localSheetId="2">'A1'!$1:$3</definedName>
    <definedName name="_xlnm.Print_Titles" localSheetId="3">'A11'!$1:$3</definedName>
    <definedName name="_xlnm.Print_Titles" localSheetId="4">'A12'!$1:$3</definedName>
    <definedName name="_xlnm.Print_Titles" localSheetId="5">'A13'!$1:$3</definedName>
    <definedName name="_xlnm.Print_Titles" localSheetId="6">'A2'!$1:$3</definedName>
    <definedName name="_xlnm.Print_Titles" localSheetId="7">'A3'!$1:$3</definedName>
    <definedName name="_xlnm.Print_Titles" localSheetId="8">'A4'!$1:$3</definedName>
    <definedName name="_xlnm.Print_Titles" localSheetId="14">ACT!$1:$3</definedName>
    <definedName name="_xlnm.Print_Titles" localSheetId="12">BX→ｼｰﾄﾃﾞﾊﾞｲｽ!$1:$3</definedName>
    <definedName name="_xlnm.Print_Titles" localSheetId="9">Fr骨格!$1:$3</definedName>
    <definedName name="_xlnm.Print_Titles" localSheetId="11">GS!$1:$3</definedName>
    <definedName name="_xlnm.Print_Titles" localSheetId="13">ND!$1:$3</definedName>
    <definedName name="_xlnm.Print_Titles" localSheetId="15">NT!$1:$3</definedName>
    <definedName name="_xlnm.Print_Titles" localSheetId="10">Rr骨格!$1:$3</definedName>
    <definedName name="_xlnm.Print_Titles" localSheetId="18">SH→設計品質改善室!$1:$3</definedName>
    <definedName name="_xlnm.Print_Titles" localSheetId="23">TBEU!$1:$3</definedName>
    <definedName name="_xlnm.Print_Titles" localSheetId="22">'シート計画部　SAT推進室'!$1:$3</definedName>
    <definedName name="_xlnm.Print_Titles" localSheetId="20">デザイン部!$1:$3</definedName>
    <definedName name="_xlnm.Print_Titles" localSheetId="1">トヨタ紡織→!$1:$3</definedName>
    <definedName name="_xlnm.Print_Titles" localSheetId="19">技管!$1:$3</definedName>
    <definedName name="_xlnm.Print_Titles" localSheetId="21">空間ビジョニアリング部!$1:$3</definedName>
    <definedName name="_xlnm.Print_Titles" localSheetId="17">内外装実験部!$1:$3</definedName>
    <definedName name="_xlnm.Print_Titles" localSheetId="16">内外装先行開発部!$1:$3</definedName>
    <definedName name="_xlnm.Print_Titles" localSheetId="24">内外装部品センター!$1:$3</definedName>
    <definedName name="会社名">[1]顧客リスト!$C$2:$N$2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4" l="1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C2" i="34"/>
  <c r="D2" i="34"/>
  <c r="E2" i="34"/>
  <c r="F2" i="34"/>
  <c r="G2" i="34"/>
  <c r="H2" i="34"/>
  <c r="I2" i="34"/>
  <c r="J2" i="34"/>
  <c r="K2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 SUZUKI</author>
  </authors>
  <commentList>
    <comment ref="D4" authorId="0" shapeId="0" xr:uid="{79994B7C-ECC7-45CE-8749-072403C028DE}">
      <text>
        <r>
          <rPr>
            <b/>
            <sz val="9"/>
            <color indexed="81"/>
            <rFont val="MS P ゴシック"/>
            <family val="3"/>
            <charset val="128"/>
          </rPr>
          <t>12月度見積書と重複(鈴木ミス)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Masateru Saito</author>
  </authors>
  <commentList>
    <comment ref="F26" authorId="0" shapeId="0" xr:uid="{349E7D7F-E0F4-401C-8E40-80D25E05D875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  <comment ref="F28" authorId="0" shapeId="0" xr:uid="{ED084E85-F226-498B-8B91-84F7F9CD194C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  <comment ref="F33" authorId="0" shapeId="0" xr:uid="{E32CE9A3-A67E-40BB-9C75-62CA7AD60F86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  <comment ref="F37" authorId="0" shapeId="0" xr:uid="{55F5FE06-830E-4ECC-864D-9F438AA0C8DE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  <comment ref="F39" authorId="0" shapeId="0" xr:uid="{F34C2C82-824F-4120-AFFE-1839C589FC55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  <comment ref="F44" authorId="0" shapeId="0" xr:uid="{FF30D492-BE11-4C10-AE04-D44642100FA7}">
      <text>
        <r>
          <rPr>
            <b/>
            <sz val="9"/>
            <color indexed="81"/>
            <rFont val="MS P ゴシック"/>
            <family val="3"/>
            <charset val="128"/>
          </rPr>
          <t>特調システムでは無く多分、紙での受発注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Chie SUZUKI</author>
  </authors>
  <commentList>
    <comment ref="C3" authorId="0" shapeId="0" xr:uid="{9A348F70-39FF-43CE-9C5A-93DC4DE840D0}">
      <text>
        <r>
          <rPr>
            <sz val="11"/>
            <color indexed="81"/>
            <rFont val="MS P ゴシック"/>
            <family val="3"/>
            <charset val="128"/>
          </rPr>
          <t>稟議書番号</t>
        </r>
      </text>
    </comment>
  </commentList>
</comments>
</file>

<file path=xl/sharedStrings.xml><?xml version="1.0" encoding="utf-8"?>
<sst xmlns="http://schemas.openxmlformats.org/spreadsheetml/2006/main" count="6132" uniqueCount="867">
  <si>
    <t>2023年</t>
    <rPh sb="4" eb="5">
      <t>ネン</t>
    </rPh>
    <phoneticPr fontId="7"/>
  </si>
  <si>
    <t>エンジニアリングサービス部　見積書・請求書発行管理台帳</t>
    <rPh sb="12" eb="13">
      <t>ブ</t>
    </rPh>
    <phoneticPr fontId="7"/>
  </si>
  <si>
    <t>見積書(税抜金額)</t>
    <rPh sb="4" eb="6">
      <t>ゼイヌキ</t>
    </rPh>
    <rPh sb="6" eb="8">
      <t>キンガク</t>
    </rPh>
    <phoneticPr fontId="7"/>
  </si>
  <si>
    <t>請求書(税抜金額)</t>
    <rPh sb="4" eb="6">
      <t>ゼイヌ</t>
    </rPh>
    <rPh sb="6" eb="8">
      <t>キンガク</t>
    </rPh>
    <phoneticPr fontId="7"/>
  </si>
  <si>
    <t>出張費請求書(税抜金額)</t>
    <rPh sb="0" eb="3">
      <t>シュッチョウヒ</t>
    </rPh>
    <rPh sb="7" eb="9">
      <t>ゼイヌ</t>
    </rPh>
    <rPh sb="9" eb="11">
      <t>キンガク</t>
    </rPh>
    <phoneticPr fontId="6"/>
  </si>
  <si>
    <t>業務委託契約書</t>
    <phoneticPr fontId="7"/>
  </si>
  <si>
    <t>企業名：</t>
    <phoneticPr fontId="7"/>
  </si>
  <si>
    <t>トヨタ紡織(株)</t>
  </si>
  <si>
    <t>タスク</t>
    <phoneticPr fontId="7"/>
  </si>
  <si>
    <t>No</t>
  </si>
  <si>
    <t>部署名</t>
  </si>
  <si>
    <t>見積/請求番号</t>
  </si>
  <si>
    <t>発注番号</t>
  </si>
  <si>
    <t>業務計画書No</t>
  </si>
  <si>
    <t>案件名</t>
  </si>
  <si>
    <t>見積金額</t>
    <rPh sb="0" eb="2">
      <t>ミツモリ</t>
    </rPh>
    <rPh sb="2" eb="4">
      <t>キンガク</t>
    </rPh>
    <phoneticPr fontId="6"/>
  </si>
  <si>
    <t>見積月</t>
  </si>
  <si>
    <t>発行日</t>
    <rPh sb="0" eb="2">
      <t>ハッコウ</t>
    </rPh>
    <rPh sb="2" eb="3">
      <t>ヒ</t>
    </rPh>
    <phoneticPr fontId="6"/>
  </si>
  <si>
    <t>発行者</t>
    <rPh sb="0" eb="2">
      <t>ハッコウ</t>
    </rPh>
    <rPh sb="2" eb="3">
      <t>シャ</t>
    </rPh>
    <phoneticPr fontId="6"/>
  </si>
  <si>
    <t>枝番</t>
    <rPh sb="0" eb="1">
      <t>エダ</t>
    </rPh>
    <phoneticPr fontId="7"/>
  </si>
  <si>
    <t>請求金額</t>
    <rPh sb="0" eb="2">
      <t>セイキュウ</t>
    </rPh>
    <rPh sb="2" eb="4">
      <t>キンガク</t>
    </rPh>
    <phoneticPr fontId="6"/>
  </si>
  <si>
    <t>請求月</t>
  </si>
  <si>
    <t>番号</t>
    <rPh sb="0" eb="2">
      <t>バンゴウ</t>
    </rPh>
    <phoneticPr fontId="7"/>
  </si>
  <si>
    <t>金額</t>
    <rPh sb="0" eb="2">
      <t>キンガク</t>
    </rPh>
    <phoneticPr fontId="6"/>
  </si>
  <si>
    <t>収入印紙</t>
    <rPh sb="0" eb="4">
      <t>シュウニュウインシ</t>
    </rPh>
    <phoneticPr fontId="7"/>
  </si>
  <si>
    <t>返送日</t>
    <rPh sb="0" eb="2">
      <t>ヘンソウ</t>
    </rPh>
    <rPh sb="2" eb="3">
      <t>ヒ</t>
    </rPh>
    <phoneticPr fontId="6"/>
  </si>
  <si>
    <t>送付先</t>
    <rPh sb="0" eb="2">
      <t>ソウフ</t>
    </rPh>
    <rPh sb="2" eb="3">
      <t>サキ</t>
    </rPh>
    <phoneticPr fontId="7"/>
  </si>
  <si>
    <t>備考</t>
    <rPh sb="0" eb="2">
      <t>ビコウ</t>
    </rPh>
    <phoneticPr fontId="7"/>
  </si>
  <si>
    <t>完了</t>
    <rPh sb="0" eb="2">
      <t>カンリョウ</t>
    </rPh>
    <phoneticPr fontId="7"/>
  </si>
  <si>
    <t>第1シート設計部</t>
  </si>
  <si>
    <t>A13-R22-010</t>
    <phoneticPr fontId="7"/>
  </si>
  <si>
    <t>-</t>
    <phoneticPr fontId="7"/>
  </si>
  <si>
    <t>DASデータまとめ</t>
  </si>
  <si>
    <t>1月</t>
    <phoneticPr fontId="7"/>
  </si>
  <si>
    <t>鈴木</t>
    <rPh sb="0" eb="2">
      <t>スズキ</t>
    </rPh>
    <phoneticPr fontId="7"/>
  </si>
  <si>
    <t>A13-R22-011</t>
  </si>
  <si>
    <t>2月</t>
  </si>
  <si>
    <t>A13-R22-014</t>
    <phoneticPr fontId="7"/>
  </si>
  <si>
    <t>3月</t>
  </si>
  <si>
    <t>A13-R22-016</t>
    <phoneticPr fontId="7"/>
  </si>
  <si>
    <t>4月</t>
  </si>
  <si>
    <t>5月</t>
  </si>
  <si>
    <t>6月</t>
  </si>
  <si>
    <t>7月</t>
  </si>
  <si>
    <t>進行中</t>
    <rPh sb="0" eb="3">
      <t>シンコウチュウ</t>
    </rPh>
    <phoneticPr fontId="7"/>
  </si>
  <si>
    <t>8月</t>
  </si>
  <si>
    <t>9月</t>
  </si>
  <si>
    <t>10月</t>
  </si>
  <si>
    <t>11月</t>
  </si>
  <si>
    <t>12月</t>
  </si>
  <si>
    <t>1月</t>
  </si>
  <si>
    <t>第1シート設計部第11シート設計室</t>
    <rPh sb="8" eb="9">
      <t>ダイ</t>
    </rPh>
    <rPh sb="14" eb="16">
      <t>セッケイ</t>
    </rPh>
    <phoneticPr fontId="7"/>
  </si>
  <si>
    <t>16113002</t>
    <phoneticPr fontId="7"/>
  </si>
  <si>
    <t>320D</t>
    <phoneticPr fontId="7"/>
  </si>
  <si>
    <t>6月</t>
    <rPh sb="1" eb="2">
      <t>ガツ</t>
    </rPh>
    <phoneticPr fontId="7"/>
  </si>
  <si>
    <t>16113003</t>
  </si>
  <si>
    <t>7月</t>
    <rPh sb="1" eb="2">
      <t>ガツ</t>
    </rPh>
    <phoneticPr fontId="7"/>
  </si>
  <si>
    <t>16113004</t>
  </si>
  <si>
    <t>16113005</t>
  </si>
  <si>
    <t>16113006</t>
  </si>
  <si>
    <t>16113007</t>
  </si>
  <si>
    <t>16113008</t>
  </si>
  <si>
    <t>16113009</t>
  </si>
  <si>
    <t>第1シート設計部第12シート設計室</t>
    <rPh sb="8" eb="9">
      <t>ダイ</t>
    </rPh>
    <rPh sb="14" eb="16">
      <t>セッケイ</t>
    </rPh>
    <phoneticPr fontId="7"/>
  </si>
  <si>
    <t>802-2212-0031-000</t>
    <phoneticPr fontId="7"/>
  </si>
  <si>
    <t>ITK08249</t>
    <phoneticPr fontId="7"/>
  </si>
  <si>
    <t>330D</t>
    <phoneticPr fontId="7"/>
  </si>
  <si>
    <t>802-2212-0032-000</t>
    <phoneticPr fontId="7"/>
  </si>
  <si>
    <t>ITK08248</t>
    <phoneticPr fontId="7"/>
  </si>
  <si>
    <t>440D</t>
    <phoneticPr fontId="7"/>
  </si>
  <si>
    <t>802-2212-0104-000</t>
    <phoneticPr fontId="7"/>
  </si>
  <si>
    <t>ITK08116</t>
    <phoneticPr fontId="7"/>
  </si>
  <si>
    <t>460B</t>
    <phoneticPr fontId="7"/>
  </si>
  <si>
    <t>802-2301-0027-000</t>
    <phoneticPr fontId="7"/>
  </si>
  <si>
    <t>2月</t>
    <rPh sb="1" eb="2">
      <t>ガツ</t>
    </rPh>
    <phoneticPr fontId="7"/>
  </si>
  <si>
    <t>802-2301-0026-000</t>
    <phoneticPr fontId="7"/>
  </si>
  <si>
    <t>802-2301-0021-000</t>
    <phoneticPr fontId="7"/>
  </si>
  <si>
    <t>802-2301-0023-000</t>
    <phoneticPr fontId="7"/>
  </si>
  <si>
    <t>440D追加</t>
    <rPh sb="4" eb="6">
      <t>ツイカ</t>
    </rPh>
    <phoneticPr fontId="7"/>
  </si>
  <si>
    <t>3月</t>
    <rPh sb="1" eb="2">
      <t>ガツ</t>
    </rPh>
    <phoneticPr fontId="7"/>
  </si>
  <si>
    <t>4月</t>
    <rPh sb="1" eb="2">
      <t>ガツ</t>
    </rPh>
    <phoneticPr fontId="7"/>
  </si>
  <si>
    <t>B626(440D)</t>
    <phoneticPr fontId="7"/>
  </si>
  <si>
    <t>5月</t>
    <rPh sb="1" eb="2">
      <t>ガツ</t>
    </rPh>
    <phoneticPr fontId="7"/>
  </si>
  <si>
    <t>440D　追加</t>
    <rPh sb="5" eb="7">
      <t>ツイカ</t>
    </rPh>
    <phoneticPr fontId="7"/>
  </si>
  <si>
    <t>8月</t>
    <rPh sb="1" eb="2">
      <t>ガツ</t>
    </rPh>
    <phoneticPr fontId="7"/>
  </si>
  <si>
    <t>9月</t>
    <rPh sb="1" eb="2">
      <t>ガツ</t>
    </rPh>
    <phoneticPr fontId="7"/>
  </si>
  <si>
    <t>第1シート設計部第13シート設計室</t>
    <rPh sb="8" eb="9">
      <t>ダイ</t>
    </rPh>
    <rPh sb="14" eb="16">
      <t>セッケイ</t>
    </rPh>
    <phoneticPr fontId="7"/>
  </si>
  <si>
    <t>802-2212-0157-000</t>
    <phoneticPr fontId="7"/>
  </si>
  <si>
    <t>ITK08044</t>
    <phoneticPr fontId="7"/>
  </si>
  <si>
    <t>759W</t>
    <phoneticPr fontId="7"/>
  </si>
  <si>
    <t>802-2212-0092-000</t>
    <phoneticPr fontId="7"/>
  </si>
  <si>
    <t>ITK08147</t>
    <phoneticPr fontId="7"/>
  </si>
  <si>
    <t>400BX</t>
    <phoneticPr fontId="7"/>
  </si>
  <si>
    <t>802-2212-0089-000</t>
    <phoneticPr fontId="7"/>
  </si>
  <si>
    <t>ITK08151</t>
    <phoneticPr fontId="7"/>
  </si>
  <si>
    <t>738W(400B)_VA</t>
    <phoneticPr fontId="7"/>
  </si>
  <si>
    <t>802-2212-0091-000</t>
    <phoneticPr fontId="7"/>
  </si>
  <si>
    <t>ITK08148</t>
    <phoneticPr fontId="7"/>
  </si>
  <si>
    <t>345D</t>
    <phoneticPr fontId="7"/>
  </si>
  <si>
    <t>802-2212-0090-000</t>
    <phoneticPr fontId="7"/>
  </si>
  <si>
    <t>ITK08149</t>
    <phoneticPr fontId="7"/>
  </si>
  <si>
    <t>346D</t>
    <phoneticPr fontId="7"/>
  </si>
  <si>
    <t>802-2301-0063-000</t>
    <phoneticPr fontId="7"/>
  </si>
  <si>
    <t>759W 号口</t>
    <rPh sb="5" eb="7">
      <t>ゴウグチ</t>
    </rPh>
    <phoneticPr fontId="7"/>
  </si>
  <si>
    <t>802-2301-0066-000</t>
    <phoneticPr fontId="7"/>
  </si>
  <si>
    <t>802-2301-0059-000</t>
    <phoneticPr fontId="7"/>
  </si>
  <si>
    <t>400B VA</t>
    <phoneticPr fontId="7"/>
  </si>
  <si>
    <t>802-2301-0065-000</t>
    <phoneticPr fontId="7"/>
  </si>
  <si>
    <t>802-2302-0091-000</t>
    <phoneticPr fontId="7"/>
  </si>
  <si>
    <t>第2シート設計部</t>
    <rPh sb="0" eb="1">
      <t>ダイ</t>
    </rPh>
    <rPh sb="5" eb="8">
      <t>セッケイブ</t>
    </rPh>
    <phoneticPr fontId="7"/>
  </si>
  <si>
    <t>第3シート設計部</t>
    <rPh sb="0" eb="1">
      <t>ダイ</t>
    </rPh>
    <rPh sb="5" eb="8">
      <t>セッケイブ</t>
    </rPh>
    <phoneticPr fontId="7"/>
  </si>
  <si>
    <t>A31-R7454</t>
    <phoneticPr fontId="7"/>
  </si>
  <si>
    <t>無償修理低減解析</t>
  </si>
  <si>
    <t>第3シート設計部第32シート設計室</t>
    <rPh sb="0" eb="1">
      <t>ダイ</t>
    </rPh>
    <rPh sb="5" eb="8">
      <t>セッケイブ</t>
    </rPh>
    <rPh sb="8" eb="9">
      <t>ダイ</t>
    </rPh>
    <phoneticPr fontId="7"/>
  </si>
  <si>
    <t>802-2212-0191-000</t>
    <phoneticPr fontId="7"/>
  </si>
  <si>
    <t>ITK08002</t>
    <phoneticPr fontId="7"/>
  </si>
  <si>
    <t>277D</t>
    <phoneticPr fontId="7"/>
  </si>
  <si>
    <t>802-2212-0190-000</t>
    <phoneticPr fontId="7"/>
  </si>
  <si>
    <t>ITK08004</t>
    <phoneticPr fontId="7"/>
  </si>
  <si>
    <t>492D</t>
    <phoneticPr fontId="7"/>
  </si>
  <si>
    <t>802-2212-0187-000</t>
    <phoneticPr fontId="7"/>
  </si>
  <si>
    <t>ITK08009</t>
    <phoneticPr fontId="7"/>
  </si>
  <si>
    <t>493D</t>
    <phoneticPr fontId="7"/>
  </si>
  <si>
    <t>802-2212-0192-000</t>
    <phoneticPr fontId="7"/>
  </si>
  <si>
    <t>ITK08001</t>
    <phoneticPr fontId="7"/>
  </si>
  <si>
    <t>825B</t>
    <phoneticPr fontId="7"/>
  </si>
  <si>
    <t>802-2212-0052-000</t>
    <phoneticPr fontId="7"/>
  </si>
  <si>
    <t>ITK08209</t>
    <phoneticPr fontId="7"/>
  </si>
  <si>
    <t>018D</t>
    <phoneticPr fontId="7"/>
  </si>
  <si>
    <t>A31-R7455</t>
    <phoneticPr fontId="7"/>
  </si>
  <si>
    <t>802-2301-0139-000</t>
    <phoneticPr fontId="7"/>
  </si>
  <si>
    <t>802-2301-0111-000</t>
    <phoneticPr fontId="7"/>
  </si>
  <si>
    <t>802-2301-0107-000</t>
    <phoneticPr fontId="7"/>
  </si>
  <si>
    <t>802-2301-0141-000</t>
    <phoneticPr fontId="7"/>
  </si>
  <si>
    <t>802-2301-0140-000</t>
    <phoneticPr fontId="7"/>
  </si>
  <si>
    <t>802-2302-0117-000</t>
    <phoneticPr fontId="7"/>
  </si>
  <si>
    <t>802-2302-0119-000</t>
    <phoneticPr fontId="7"/>
  </si>
  <si>
    <t>802-2302-0118-000</t>
    <phoneticPr fontId="7"/>
  </si>
  <si>
    <t>6月</t>
    <rPh sb="1" eb="2">
      <t>ツキ</t>
    </rPh>
    <phoneticPr fontId="7"/>
  </si>
  <si>
    <t>Frシート骨格設計部第2設計室</t>
    <phoneticPr fontId="7"/>
  </si>
  <si>
    <t>802-2212-0086-000</t>
    <phoneticPr fontId="7"/>
  </si>
  <si>
    <t>ITk08154</t>
    <phoneticPr fontId="7"/>
  </si>
  <si>
    <t>TNGA/SK7 FRシート骨格</t>
  </si>
  <si>
    <t>802-2212-0085-000</t>
    <phoneticPr fontId="7"/>
  </si>
  <si>
    <t>ITK08160</t>
    <phoneticPr fontId="7"/>
  </si>
  <si>
    <t>SK7 FRシート骨格</t>
  </si>
  <si>
    <t>802-2301-0002-000</t>
    <phoneticPr fontId="7"/>
  </si>
  <si>
    <t>410D</t>
    <phoneticPr fontId="7"/>
  </si>
  <si>
    <t>Frシート骨格設計部第2設計室</t>
  </si>
  <si>
    <t>802-2301-0055-000</t>
    <phoneticPr fontId="7"/>
  </si>
  <si>
    <t>802-2301-0044-000</t>
    <phoneticPr fontId="7"/>
  </si>
  <si>
    <t>802-2301-0041-000</t>
    <phoneticPr fontId="7"/>
  </si>
  <si>
    <t>TNGA/SK7 FRシート骨格</t>
    <phoneticPr fontId="7"/>
  </si>
  <si>
    <t>SK7 FRシート骨格</t>
    <phoneticPr fontId="7"/>
  </si>
  <si>
    <t>502D</t>
    <phoneticPr fontId="7"/>
  </si>
  <si>
    <t>X1T5 次世代バックフレーム</t>
    <rPh sb="5" eb="8">
      <t>ジセダイ</t>
    </rPh>
    <phoneticPr fontId="7"/>
  </si>
  <si>
    <t>6月</t>
    <phoneticPr fontId="7"/>
  </si>
  <si>
    <t>Rrシート骨格設計部第1設計室</t>
  </si>
  <si>
    <t>802-2212-0147-000</t>
    <phoneticPr fontId="7"/>
  </si>
  <si>
    <t>ITK08061</t>
    <phoneticPr fontId="7"/>
  </si>
  <si>
    <t>ミニバン統合骨格</t>
  </si>
  <si>
    <t>Rrシート骨格設計部第2設計室</t>
    <rPh sb="10" eb="11">
      <t>ダイ</t>
    </rPh>
    <rPh sb="12" eb="14">
      <t>セッケイ</t>
    </rPh>
    <rPh sb="14" eb="15">
      <t>シツ</t>
    </rPh>
    <phoneticPr fontId="7"/>
  </si>
  <si>
    <t>802-2212-0079-000</t>
    <phoneticPr fontId="7"/>
  </si>
  <si>
    <t>ITK08166</t>
    <phoneticPr fontId="7"/>
  </si>
  <si>
    <t>802-2301-0070-000</t>
    <phoneticPr fontId="7"/>
  </si>
  <si>
    <t>802-2301-0071-000</t>
    <phoneticPr fontId="7"/>
  </si>
  <si>
    <t>802-2302-0082-000</t>
    <phoneticPr fontId="7"/>
  </si>
  <si>
    <t>802-2302-0058-000</t>
    <phoneticPr fontId="7"/>
  </si>
  <si>
    <t>SUBARU</t>
    <phoneticPr fontId="7"/>
  </si>
  <si>
    <t>QE36　SUBARU</t>
    <phoneticPr fontId="7"/>
  </si>
  <si>
    <t>B658　SUBARU</t>
    <phoneticPr fontId="7"/>
  </si>
  <si>
    <t>シート機能品設計部第2設計室</t>
  </si>
  <si>
    <t>BX-22-012</t>
    <phoneticPr fontId="7"/>
  </si>
  <si>
    <t>BX-22-013</t>
    <phoneticPr fontId="7"/>
  </si>
  <si>
    <t>シートデバイス設計部</t>
    <rPh sb="7" eb="10">
      <t>セッケイブ</t>
    </rPh>
    <phoneticPr fontId="7"/>
  </si>
  <si>
    <t>グローバルシート設計室</t>
  </si>
  <si>
    <t>802-2212-0158-000</t>
  </si>
  <si>
    <t>ITK08043</t>
  </si>
  <si>
    <t>D92A/D54B</t>
    <phoneticPr fontId="7"/>
  </si>
  <si>
    <t>802-2212-0062-000</t>
  </si>
  <si>
    <t>ITK08195</t>
  </si>
  <si>
    <t>B-SUV 2列</t>
    <rPh sb="7" eb="8">
      <t>レツ</t>
    </rPh>
    <phoneticPr fontId="7"/>
  </si>
  <si>
    <t>802-2212-0199-000</t>
    <phoneticPr fontId="7"/>
  </si>
  <si>
    <t>ITK07918</t>
    <phoneticPr fontId="7"/>
  </si>
  <si>
    <t>B-SUV Fr開発 MY(追加)</t>
    <rPh sb="8" eb="10">
      <t>カイハツ</t>
    </rPh>
    <rPh sb="14" eb="16">
      <t>ツイカ</t>
    </rPh>
    <phoneticPr fontId="7"/>
  </si>
  <si>
    <t>802-2212-0057-000</t>
    <phoneticPr fontId="7"/>
  </si>
  <si>
    <t>ITK08201</t>
    <phoneticPr fontId="7"/>
  </si>
  <si>
    <t>B-SUV Fr開発 MY</t>
    <rPh sb="8" eb="10">
      <t>カイハツ</t>
    </rPh>
    <phoneticPr fontId="7"/>
  </si>
  <si>
    <t>802-2212-0193-000</t>
    <phoneticPr fontId="7"/>
  </si>
  <si>
    <t>ITK08000</t>
    <phoneticPr fontId="7"/>
  </si>
  <si>
    <t>3列 B-EV</t>
    <rPh sb="1" eb="2">
      <t>レツ</t>
    </rPh>
    <phoneticPr fontId="7"/>
  </si>
  <si>
    <t>802-2212-0081-000</t>
    <phoneticPr fontId="7"/>
  </si>
  <si>
    <t>802-2212-0166-000</t>
    <phoneticPr fontId="7"/>
  </si>
  <si>
    <t>612W</t>
    <phoneticPr fontId="7"/>
  </si>
  <si>
    <t>802-2212-0163-000</t>
    <phoneticPr fontId="7"/>
  </si>
  <si>
    <t>D74A</t>
    <phoneticPr fontId="7"/>
  </si>
  <si>
    <t>802-2212-0167-000</t>
    <phoneticPr fontId="7"/>
  </si>
  <si>
    <t>D25B</t>
    <phoneticPr fontId="7"/>
  </si>
  <si>
    <t>802-2212-0131-000</t>
    <phoneticPr fontId="7"/>
  </si>
  <si>
    <t>YY8</t>
    <phoneticPr fontId="7"/>
  </si>
  <si>
    <t>802-2212-0019-000</t>
    <phoneticPr fontId="7"/>
  </si>
  <si>
    <t>D03B Fr開発</t>
    <rPh sb="7" eb="9">
      <t>カイハツ</t>
    </rPh>
    <phoneticPr fontId="7"/>
  </si>
  <si>
    <t>802-2212-0128-000</t>
    <phoneticPr fontId="7"/>
  </si>
  <si>
    <t>D90B</t>
    <phoneticPr fontId="7"/>
  </si>
  <si>
    <t>802-2301-0109-000</t>
    <phoneticPr fontId="7"/>
  </si>
  <si>
    <t>D92A/D54B</t>
  </si>
  <si>
    <t>802-2301-0130-000</t>
    <phoneticPr fontId="7"/>
  </si>
  <si>
    <t>802-2301-0142-000</t>
    <phoneticPr fontId="7"/>
  </si>
  <si>
    <t>802-2301-0103-000</t>
    <phoneticPr fontId="7"/>
  </si>
  <si>
    <t>802-2301-0105-000</t>
    <phoneticPr fontId="7"/>
  </si>
  <si>
    <t>802-2301-0102-000</t>
    <phoneticPr fontId="7"/>
  </si>
  <si>
    <t>802-2301-0086-000</t>
    <phoneticPr fontId="7"/>
  </si>
  <si>
    <t>802-2301-0108-000</t>
    <phoneticPr fontId="7"/>
  </si>
  <si>
    <t>802-2301-0029-000</t>
    <phoneticPr fontId="7"/>
  </si>
  <si>
    <t>802-2301-0028-000</t>
    <phoneticPr fontId="7"/>
  </si>
  <si>
    <t>802-2302-0068-000</t>
    <phoneticPr fontId="7"/>
  </si>
  <si>
    <t>802-2302-0059-000</t>
    <phoneticPr fontId="7"/>
  </si>
  <si>
    <t>3月</t>
    <phoneticPr fontId="7"/>
  </si>
  <si>
    <t>D42H</t>
    <phoneticPr fontId="7"/>
  </si>
  <si>
    <t>524D(612W)</t>
    <phoneticPr fontId="7"/>
  </si>
  <si>
    <t>D38H</t>
    <phoneticPr fontId="7"/>
  </si>
  <si>
    <t>ACT事業室</t>
    <phoneticPr fontId="7"/>
  </si>
  <si>
    <t>802-2212-0096-000</t>
    <phoneticPr fontId="7"/>
  </si>
  <si>
    <t>航空機シート</t>
  </si>
  <si>
    <t>802-2301-0094-000</t>
    <phoneticPr fontId="7"/>
  </si>
  <si>
    <t>内外装トリム設計部第３トリム設計室</t>
  </si>
  <si>
    <t>A93-2212-0009-000</t>
    <phoneticPr fontId="7"/>
  </si>
  <si>
    <t>ITK08246</t>
    <phoneticPr fontId="7"/>
  </si>
  <si>
    <t>200D</t>
    <phoneticPr fontId="7"/>
  </si>
  <si>
    <t>内外装トリム設計部第３トリム設計室</t>
    <phoneticPr fontId="7"/>
  </si>
  <si>
    <t>A93-2212-0013-000</t>
    <phoneticPr fontId="7"/>
  </si>
  <si>
    <t>ITK08244</t>
    <phoneticPr fontId="7"/>
  </si>
  <si>
    <t>設計支援</t>
    <rPh sb="0" eb="4">
      <t>セッケイシエン</t>
    </rPh>
    <phoneticPr fontId="7"/>
  </si>
  <si>
    <t>A93-2301-0001-000</t>
    <phoneticPr fontId="7"/>
  </si>
  <si>
    <t>263D</t>
    <phoneticPr fontId="7"/>
  </si>
  <si>
    <t>A93-2301-0006-000</t>
    <phoneticPr fontId="7"/>
  </si>
  <si>
    <t>A93-2301-0009-000</t>
    <phoneticPr fontId="7"/>
  </si>
  <si>
    <t>A93-2302-0012-000</t>
    <phoneticPr fontId="7"/>
  </si>
  <si>
    <t>A93-2302-0008-000</t>
    <phoneticPr fontId="7"/>
  </si>
  <si>
    <t>ドアトリム設計部第1ドアトリム設計室</t>
    <phoneticPr fontId="7"/>
  </si>
  <si>
    <t>401-2212-0002-000</t>
    <phoneticPr fontId="7"/>
  </si>
  <si>
    <t>ITK08120</t>
    <phoneticPr fontId="7"/>
  </si>
  <si>
    <t>700W他_号口管理</t>
    <phoneticPr fontId="7"/>
  </si>
  <si>
    <t>ドアトリム設計部第2ドアトリム設計室</t>
    <phoneticPr fontId="7"/>
  </si>
  <si>
    <t>404-2212-0012-000</t>
    <phoneticPr fontId="7"/>
  </si>
  <si>
    <t>ITK08207</t>
    <phoneticPr fontId="7"/>
  </si>
  <si>
    <t>D90B</t>
  </si>
  <si>
    <t>404-2212-0011-000</t>
    <phoneticPr fontId="7"/>
  </si>
  <si>
    <t>ITK08206</t>
    <phoneticPr fontId="7"/>
  </si>
  <si>
    <t>478D</t>
  </si>
  <si>
    <t>404-2301-0009-000</t>
    <phoneticPr fontId="7"/>
  </si>
  <si>
    <t>404-2301-0008-000</t>
    <phoneticPr fontId="7"/>
  </si>
  <si>
    <t>478D</t>
    <phoneticPr fontId="7"/>
  </si>
  <si>
    <t>401-2301-0001-000</t>
    <phoneticPr fontId="7"/>
  </si>
  <si>
    <t>401-2302-0001-000</t>
    <phoneticPr fontId="7"/>
  </si>
  <si>
    <t>404-2303-0002-000</t>
    <phoneticPr fontId="7"/>
  </si>
  <si>
    <t>ドアトリム設計部先行設計室</t>
    <rPh sb="8" eb="10">
      <t>センコウ</t>
    </rPh>
    <rPh sb="10" eb="12">
      <t>セッケイ</t>
    </rPh>
    <rPh sb="12" eb="13">
      <t>シツ</t>
    </rPh>
    <phoneticPr fontId="7"/>
  </si>
  <si>
    <t>競争力BMC</t>
    <phoneticPr fontId="7"/>
  </si>
  <si>
    <t>シートホーム推進部</t>
  </si>
  <si>
    <t>SQ2021-0062</t>
    <phoneticPr fontId="7"/>
  </si>
  <si>
    <t>品質監査業務支援</t>
  </si>
  <si>
    <t>SQ2021-0061</t>
    <phoneticPr fontId="7"/>
  </si>
  <si>
    <t>設計品質改善会</t>
  </si>
  <si>
    <t>SQ2021-0067</t>
    <phoneticPr fontId="7"/>
  </si>
  <si>
    <t>SQ2021-0066</t>
    <phoneticPr fontId="7"/>
  </si>
  <si>
    <t>内外装先行開発部照明開発室</t>
    <rPh sb="0" eb="3">
      <t>ナイガイソウ</t>
    </rPh>
    <rPh sb="3" eb="5">
      <t>センコウ</t>
    </rPh>
    <rPh sb="5" eb="8">
      <t>カイハツブ</t>
    </rPh>
    <rPh sb="8" eb="10">
      <t>ショウメイ</t>
    </rPh>
    <rPh sb="10" eb="13">
      <t>カイハツシツ</t>
    </rPh>
    <phoneticPr fontId="7"/>
  </si>
  <si>
    <t>280Dイルミ</t>
    <phoneticPr fontId="7"/>
  </si>
  <si>
    <t>内外装部品センター</t>
    <rPh sb="0" eb="3">
      <t>ナイガイソウ</t>
    </rPh>
    <rPh sb="3" eb="5">
      <t>ブヒン</t>
    </rPh>
    <phoneticPr fontId="7"/>
  </si>
  <si>
    <t>亀甲リブガイド作成</t>
    <rPh sb="0" eb="2">
      <t>キッコウ</t>
    </rPh>
    <rPh sb="7" eb="9">
      <t>サクセイ</t>
    </rPh>
    <phoneticPr fontId="7"/>
  </si>
  <si>
    <t>12ｰ1月</t>
    <phoneticPr fontId="7"/>
  </si>
  <si>
    <t>?</t>
    <phoneticPr fontId="7"/>
  </si>
  <si>
    <t>安居</t>
    <rPh sb="0" eb="2">
      <t>ヤスイ</t>
    </rPh>
    <phoneticPr fontId="7"/>
  </si>
  <si>
    <t>2-3月</t>
    <rPh sb="3" eb="4">
      <t>ガツ</t>
    </rPh>
    <phoneticPr fontId="7"/>
  </si>
  <si>
    <t>エンジニアリングサービス部　発注書発行管理台帳</t>
    <rPh sb="12" eb="13">
      <t>ブ</t>
    </rPh>
    <rPh sb="14" eb="16">
      <t>ハッチュウ</t>
    </rPh>
    <rPh sb="16" eb="17">
      <t>ショ</t>
    </rPh>
    <phoneticPr fontId="7"/>
  </si>
  <si>
    <t>注文書番号</t>
    <rPh sb="0" eb="3">
      <t>チュウモンショ</t>
    </rPh>
    <rPh sb="3" eb="5">
      <t>バンゴウ</t>
    </rPh>
    <phoneticPr fontId="7"/>
  </si>
  <si>
    <t>拠点名</t>
    <rPh sb="0" eb="2">
      <t>キョテン</t>
    </rPh>
    <rPh sb="2" eb="3">
      <t>メイ</t>
    </rPh>
    <phoneticPr fontId="7"/>
  </si>
  <si>
    <t>依頼者</t>
    <rPh sb="0" eb="2">
      <t>イライ</t>
    </rPh>
    <rPh sb="2" eb="3">
      <t>シャ</t>
    </rPh>
    <phoneticPr fontId="7"/>
  </si>
  <si>
    <t>注文先</t>
    <rPh sb="0" eb="2">
      <t>チュウモン</t>
    </rPh>
    <rPh sb="2" eb="3">
      <t>サキ</t>
    </rPh>
    <phoneticPr fontId="7"/>
  </si>
  <si>
    <t>発行日</t>
    <rPh sb="0" eb="2">
      <t>ハッコウ</t>
    </rPh>
    <rPh sb="2" eb="3">
      <t>ヒ</t>
    </rPh>
    <phoneticPr fontId="7"/>
  </si>
  <si>
    <t>見積書番号</t>
    <rPh sb="0" eb="3">
      <t>ミツモリショ</t>
    </rPh>
    <rPh sb="3" eb="5">
      <t>バンゴウ</t>
    </rPh>
    <phoneticPr fontId="7"/>
  </si>
  <si>
    <t>エンジニアリングサービス部　プロジェクトコード</t>
    <phoneticPr fontId="12"/>
  </si>
  <si>
    <t>見積書/請求書</t>
    <rPh sb="0" eb="3">
      <t>ミツモリショ</t>
    </rPh>
    <rPh sb="4" eb="7">
      <t>セイキュウショ</t>
    </rPh>
    <phoneticPr fontId="7"/>
  </si>
  <si>
    <t>企業名</t>
    <rPh sb="0" eb="2">
      <t>キギョウ</t>
    </rPh>
    <rPh sb="2" eb="3">
      <t>メイ</t>
    </rPh>
    <phoneticPr fontId="12"/>
  </si>
  <si>
    <t>企業コード</t>
    <rPh sb="0" eb="2">
      <t>キギョウ</t>
    </rPh>
    <phoneticPr fontId="12"/>
  </si>
  <si>
    <t>委託通称名</t>
    <rPh sb="0" eb="2">
      <t>イタク</t>
    </rPh>
    <rPh sb="2" eb="5">
      <t>ツウショウメイ</t>
    </rPh>
    <phoneticPr fontId="7"/>
  </si>
  <si>
    <t>部署名</t>
    <rPh sb="0" eb="2">
      <t>ブショ</t>
    </rPh>
    <rPh sb="2" eb="3">
      <t>メイ</t>
    </rPh>
    <phoneticPr fontId="12"/>
  </si>
  <si>
    <t>部署コード</t>
    <rPh sb="0" eb="2">
      <t>ブショ</t>
    </rPh>
    <phoneticPr fontId="12"/>
  </si>
  <si>
    <t>最終番号</t>
    <rPh sb="0" eb="2">
      <t>サイシュウ</t>
    </rPh>
    <rPh sb="2" eb="4">
      <t>バンゴウ</t>
    </rPh>
    <phoneticPr fontId="7"/>
  </si>
  <si>
    <t>小島プレス工業(株)</t>
    <rPh sb="0" eb="2">
      <t>コジマ</t>
    </rPh>
    <rPh sb="5" eb="7">
      <t>コウギョウ</t>
    </rPh>
    <rPh sb="7" eb="10">
      <t>カブシキガイシャ</t>
    </rPh>
    <phoneticPr fontId="7"/>
  </si>
  <si>
    <t>05</t>
    <phoneticPr fontId="7"/>
  </si>
  <si>
    <t>トヨタ自動車(株)</t>
    <rPh sb="3" eb="6">
      <t>ジドウシャ</t>
    </rPh>
    <rPh sb="6" eb="9">
      <t>カブシキガイシャ</t>
    </rPh>
    <phoneticPr fontId="12"/>
  </si>
  <si>
    <t>10</t>
    <phoneticPr fontId="12"/>
  </si>
  <si>
    <t>IT ｽﾏｰﾄｼﾃｨ</t>
    <phoneticPr fontId="12"/>
  </si>
  <si>
    <t>DX開発推進部ｻｰﾋﾞｽPFｸﾞﾙｰﾌﾟ</t>
    <phoneticPr fontId="7"/>
  </si>
  <si>
    <t>101</t>
    <phoneticPr fontId="12"/>
  </si>
  <si>
    <t>10101002</t>
    <phoneticPr fontId="7"/>
  </si>
  <si>
    <t>2021年4月よりｴﾝｼﾞﾆｱﾘﾝｸﾞﾋﾞｼﾞﾈｽ開発部へ移管</t>
    <rPh sb="4" eb="5">
      <t>ネン</t>
    </rPh>
    <rPh sb="6" eb="7">
      <t>ツキ</t>
    </rPh>
    <rPh sb="25" eb="28">
      <t>カイハツブ</t>
    </rPh>
    <rPh sb="29" eb="31">
      <t>イカン</t>
    </rPh>
    <phoneticPr fontId="7"/>
  </si>
  <si>
    <t>IT TLION</t>
    <phoneticPr fontId="12"/>
  </si>
  <si>
    <t>DX開発推進部商品企画ﾌﾟﾛｾｽ開発ｸﾞﾙｰﾌﾟ</t>
    <phoneticPr fontId="12"/>
  </si>
  <si>
    <t>102</t>
  </si>
  <si>
    <t>10102004</t>
    <phoneticPr fontId="7"/>
  </si>
  <si>
    <t>2021年6月末にて終了</t>
    <rPh sb="4" eb="5">
      <t>ネン</t>
    </rPh>
    <rPh sb="6" eb="7">
      <t>ガツ</t>
    </rPh>
    <rPh sb="7" eb="8">
      <t>マツ</t>
    </rPh>
    <rPh sb="10" eb="12">
      <t>シュウリョウ</t>
    </rPh>
    <phoneticPr fontId="7"/>
  </si>
  <si>
    <t>法規認証</t>
    <rPh sb="0" eb="2">
      <t>ホウキ</t>
    </rPh>
    <rPh sb="2" eb="4">
      <t>ニンショウ</t>
    </rPh>
    <phoneticPr fontId="12"/>
  </si>
  <si>
    <t>法規認証部企画室ラベル・VINｸﾞﾙｰﾌﾟ</t>
    <rPh sb="0" eb="5">
      <t>ホウキニンショウブ</t>
    </rPh>
    <rPh sb="5" eb="7">
      <t>キカク</t>
    </rPh>
    <rPh sb="7" eb="8">
      <t>シツ</t>
    </rPh>
    <rPh sb="8" eb="9">
      <t>ソウシツ</t>
    </rPh>
    <phoneticPr fontId="7"/>
  </si>
  <si>
    <t>103</t>
  </si>
  <si>
    <t>トヨタ車体(株)</t>
    <rPh sb="3" eb="5">
      <t>シャタイ</t>
    </rPh>
    <rPh sb="5" eb="8">
      <t>カブシキガイシャ</t>
    </rPh>
    <phoneticPr fontId="12"/>
  </si>
  <si>
    <t>13</t>
    <phoneticPr fontId="12"/>
  </si>
  <si>
    <t>内装</t>
    <rPh sb="0" eb="2">
      <t>ナイソウ</t>
    </rPh>
    <phoneticPr fontId="12"/>
  </si>
  <si>
    <t>内装設計部内装設計室</t>
    <rPh sb="5" eb="7">
      <t>ナイソウ</t>
    </rPh>
    <phoneticPr fontId="7"/>
  </si>
  <si>
    <t>13101002</t>
    <phoneticPr fontId="7"/>
  </si>
  <si>
    <t>2021年4月初旬にて終了</t>
    <rPh sb="4" eb="5">
      <t>ネン</t>
    </rPh>
    <rPh sb="6" eb="7">
      <t>ガツ</t>
    </rPh>
    <rPh sb="7" eb="9">
      <t>ショジュン</t>
    </rPh>
    <rPh sb="11" eb="13">
      <t>シュウリョウ</t>
    </rPh>
    <phoneticPr fontId="7"/>
  </si>
  <si>
    <t>シート</t>
    <phoneticPr fontId="12"/>
  </si>
  <si>
    <t>内装設計部ｼｰﾄ設計室</t>
    <phoneticPr fontId="12"/>
  </si>
  <si>
    <t>13102001</t>
    <phoneticPr fontId="7"/>
  </si>
  <si>
    <t>2021年4月末にて終了</t>
    <rPh sb="4" eb="5">
      <t>ネン</t>
    </rPh>
    <rPh sb="6" eb="7">
      <t>ガツ</t>
    </rPh>
    <rPh sb="7" eb="8">
      <t>マツ</t>
    </rPh>
    <rPh sb="10" eb="12">
      <t>シュウリョウ</t>
    </rPh>
    <phoneticPr fontId="7"/>
  </si>
  <si>
    <t>豊田合成(株)</t>
    <rPh sb="0" eb="2">
      <t>トヨタ</t>
    </rPh>
    <rPh sb="2" eb="4">
      <t>ゴウセイ</t>
    </rPh>
    <rPh sb="4" eb="7">
      <t>カブシキガイシャ</t>
    </rPh>
    <phoneticPr fontId="12"/>
  </si>
  <si>
    <t>14</t>
    <phoneticPr fontId="12"/>
  </si>
  <si>
    <t>トヨタ紡織(株)</t>
    <rPh sb="3" eb="5">
      <t>ボウショク</t>
    </rPh>
    <rPh sb="5" eb="8">
      <t>カブシキガイシャ</t>
    </rPh>
    <phoneticPr fontId="12"/>
  </si>
  <si>
    <t>16</t>
    <phoneticPr fontId="12"/>
  </si>
  <si>
    <t>第1ｼｰﾄ設計部</t>
    <phoneticPr fontId="12"/>
  </si>
  <si>
    <t>100</t>
    <phoneticPr fontId="12"/>
  </si>
  <si>
    <t>第1ｼｰﾄ設計部第13ｼｰﾄ設計室</t>
    <phoneticPr fontId="7"/>
  </si>
  <si>
    <t>設計</t>
    <rPh sb="0" eb="1">
      <t>セッケイ</t>
    </rPh>
    <phoneticPr fontId="12"/>
  </si>
  <si>
    <t>Frｼｰﾄ骨格設計部</t>
    <rPh sb="5" eb="7">
      <t>コッカク</t>
    </rPh>
    <rPh sb="7" eb="10">
      <t>セッケイブ</t>
    </rPh>
    <phoneticPr fontId="12"/>
  </si>
  <si>
    <t>102</t>
    <phoneticPr fontId="12"/>
  </si>
  <si>
    <t>品質</t>
    <rPh sb="0" eb="1">
      <t>ヒンシツ</t>
    </rPh>
    <phoneticPr fontId="12"/>
  </si>
  <si>
    <t>103</t>
    <phoneticPr fontId="12"/>
  </si>
  <si>
    <t>16103005</t>
  </si>
  <si>
    <t>部署コード『102』へ統合</t>
    <rPh sb="0" eb="2">
      <t>ブショ</t>
    </rPh>
    <rPh sb="11" eb="13">
      <t>トウゴウ</t>
    </rPh>
    <phoneticPr fontId="7"/>
  </si>
  <si>
    <t>Rrｼｰﾄ骨格設計部</t>
    <rPh sb="5" eb="7">
      <t>コッカク</t>
    </rPh>
    <rPh sb="7" eb="9">
      <t>セッケイ</t>
    </rPh>
    <rPh sb="9" eb="10">
      <t>ブ</t>
    </rPh>
    <phoneticPr fontId="12"/>
  </si>
  <si>
    <t>104</t>
    <phoneticPr fontId="12"/>
  </si>
  <si>
    <t>新興国ｼｰﾄ設計室</t>
    <phoneticPr fontId="12"/>
  </si>
  <si>
    <t>105</t>
    <phoneticPr fontId="12"/>
  </si>
  <si>
    <t>2022年4月よりｸﾞﾛｰﾊﾞﾙｼｰﾄ設計部へ移管</t>
    <phoneticPr fontId="7"/>
  </si>
  <si>
    <t>第2ｼｰﾄ設計部</t>
    <phoneticPr fontId="7"/>
  </si>
  <si>
    <t>106</t>
    <phoneticPr fontId="12"/>
  </si>
  <si>
    <t>第3ｼｰﾄ設計部</t>
    <phoneticPr fontId="12"/>
  </si>
  <si>
    <t>107</t>
    <phoneticPr fontId="12"/>
  </si>
  <si>
    <t>第1ｼｰﾄ設計部第12ｼｰﾄ設計室</t>
    <phoneticPr fontId="12"/>
  </si>
  <si>
    <t>108</t>
    <phoneticPr fontId="12"/>
  </si>
  <si>
    <t>ｼｰﾄｽﾄﾗﾃﾞｼﾞｰｸｵﾘﾃｨ部品質改善室</t>
    <phoneticPr fontId="12"/>
  </si>
  <si>
    <t>109</t>
    <phoneticPr fontId="12"/>
  </si>
  <si>
    <t>2022年5月よりｼｰﾄﾎｰﾑ推進部へ移管</t>
    <phoneticPr fontId="7"/>
  </si>
  <si>
    <t>ｼｰﾄｽﾄﾗﾃﾞｼﾞｰｸｵﾘﾃｨ部第2ｼｰﾄ品質改善室</t>
  </si>
  <si>
    <t>110</t>
    <phoneticPr fontId="12"/>
  </si>
  <si>
    <t>16110005</t>
    <phoneticPr fontId="7"/>
  </si>
  <si>
    <t>内外装実験部</t>
    <rPh sb="0" eb="3">
      <t>ナイガイソウ</t>
    </rPh>
    <rPh sb="3" eb="5">
      <t>ジッケン</t>
    </rPh>
    <rPh sb="5" eb="6">
      <t>ブ</t>
    </rPh>
    <phoneticPr fontId="12"/>
  </si>
  <si>
    <t>111</t>
    <phoneticPr fontId="12"/>
  </si>
  <si>
    <t>内外装ﾄﾘﾑ設計部</t>
    <rPh sb="0" eb="3">
      <t>ナイガイソウ</t>
    </rPh>
    <rPh sb="6" eb="8">
      <t>セッケイ</t>
    </rPh>
    <rPh sb="8" eb="9">
      <t>ブ</t>
    </rPh>
    <phoneticPr fontId="7"/>
  </si>
  <si>
    <t>112</t>
  </si>
  <si>
    <t>第1ｼｰﾄ設計部第11ｼｰﾄ設計室</t>
    <phoneticPr fontId="7"/>
  </si>
  <si>
    <t>16113001</t>
    <phoneticPr fontId="7"/>
  </si>
  <si>
    <t>ｼｰﾄ実験部</t>
    <phoneticPr fontId="7"/>
  </si>
  <si>
    <t>内外装先行開発部</t>
    <phoneticPr fontId="7"/>
  </si>
  <si>
    <t>ﾄﾞｱﾄﾘﾑ設計部</t>
    <rPh sb="6" eb="8">
      <t>セッケイ</t>
    </rPh>
    <rPh sb="8" eb="9">
      <t>ブ</t>
    </rPh>
    <phoneticPr fontId="7"/>
  </si>
  <si>
    <t>ｼｰﾄ機能品設計部</t>
    <phoneticPr fontId="7"/>
  </si>
  <si>
    <t>ACT</t>
  </si>
  <si>
    <t>ｸﾞﾛｰﾊﾞﾙｼｰﾄ設計室</t>
    <phoneticPr fontId="7"/>
  </si>
  <si>
    <t>ｼｰﾄﾎｰﾑ推進部</t>
    <phoneticPr fontId="7"/>
  </si>
  <si>
    <t>ｼｰﾄ部品開発部</t>
    <phoneticPr fontId="7"/>
  </si>
  <si>
    <t>内外装部品ｾﾝﾀｰ</t>
    <phoneticPr fontId="7"/>
  </si>
  <si>
    <t>三井E&amp;Sシステム技研(株)</t>
    <rPh sb="0" eb="2">
      <t>ミツイ</t>
    </rPh>
    <rPh sb="9" eb="11">
      <t>ギケン</t>
    </rPh>
    <rPh sb="11" eb="14">
      <t>カブシキガイシャ</t>
    </rPh>
    <phoneticPr fontId="12"/>
  </si>
  <si>
    <t>19</t>
    <phoneticPr fontId="12"/>
  </si>
  <si>
    <t>製造事業本部業務管理ｸﾞﾙｰﾌﾟ</t>
    <phoneticPr fontId="12"/>
  </si>
  <si>
    <t>IPGオートモーティブ(株)</t>
    <rPh sb="11" eb="14">
      <t>カブシキガイシャ</t>
    </rPh>
    <phoneticPr fontId="12"/>
  </si>
  <si>
    <t>50</t>
    <phoneticPr fontId="12"/>
  </si>
  <si>
    <t>50101004</t>
  </si>
  <si>
    <t>2021年9月よりｴﾝｼﾞﾆｱﾘﾝｸﾞﾋﾞｼﾞﾈｽ開発部へ移管
→終了</t>
    <rPh sb="4" eb="5">
      <t>ネン</t>
    </rPh>
    <rPh sb="6" eb="7">
      <t>ツキ</t>
    </rPh>
    <rPh sb="25" eb="28">
      <t>カイハツブ</t>
    </rPh>
    <rPh sb="29" eb="31">
      <t>イカン</t>
    </rPh>
    <rPh sb="33" eb="35">
      <t>シュウリョウ</t>
    </rPh>
    <phoneticPr fontId="7"/>
  </si>
  <si>
    <t>(株)SUBARU</t>
    <rPh sb="0" eb="3">
      <t>カブ</t>
    </rPh>
    <phoneticPr fontId="7"/>
  </si>
  <si>
    <t>ﾎﾞﾃﾞｨ設計部</t>
    <phoneticPr fontId="7"/>
  </si>
  <si>
    <t>000</t>
    <phoneticPr fontId="7"/>
  </si>
  <si>
    <t>サイバネットSMBE(株)</t>
    <rPh sb="10" eb="13">
      <t>カブシキガイシャ</t>
    </rPh>
    <phoneticPr fontId="12"/>
  </si>
  <si>
    <t>53</t>
    <phoneticPr fontId="12"/>
  </si>
  <si>
    <t>-</t>
    <phoneticPr fontId="12"/>
  </si>
  <si>
    <t>2021年1月より派遣契約へ変更</t>
  </si>
  <si>
    <t>日産自動車(株)</t>
    <rPh sb="0" eb="5">
      <t>ニッサンジドウシャ</t>
    </rPh>
    <rPh sb="5" eb="8">
      <t>カブシキガイシャ</t>
    </rPh>
    <phoneticPr fontId="12"/>
  </si>
  <si>
    <t>54</t>
    <phoneticPr fontId="12"/>
  </si>
  <si>
    <t>PT</t>
    <phoneticPr fontId="12"/>
  </si>
  <si>
    <t>ﾊﾟﾜｰﾄﾚｲﾝEV先進技術開発部
次世代ﾊﾟﾜｰﾄﾚｲﾝEVﾕﾆｯﾄ開発ｸﾞﾙｰﾌﾟ</t>
    <phoneticPr fontId="12"/>
  </si>
  <si>
    <t>54101026</t>
  </si>
  <si>
    <t>2021年9月よりｴﾝｼﾞﾆｱﾘﾝｸﾞﾋﾞｼﾞﾈｽ開発部へ移管
→事業企画部へ</t>
    <rPh sb="4" eb="5">
      <t>ネン</t>
    </rPh>
    <rPh sb="6" eb="7">
      <t>ツキ</t>
    </rPh>
    <rPh sb="25" eb="28">
      <t>カイハツブ</t>
    </rPh>
    <rPh sb="29" eb="31">
      <t>イカン</t>
    </rPh>
    <rPh sb="33" eb="37">
      <t>ジギョウキカク</t>
    </rPh>
    <rPh sb="37" eb="38">
      <t>ブ</t>
    </rPh>
    <phoneticPr fontId="7"/>
  </si>
  <si>
    <t>HMI</t>
    <phoneticPr fontId="12"/>
  </si>
  <si>
    <t>ｻｰﾋﾞｽｻﾎﾟｰﾄ調達部</t>
    <rPh sb="10" eb="13">
      <t>チョウタツブ</t>
    </rPh>
    <phoneticPr fontId="7"/>
  </si>
  <si>
    <t>54102003</t>
  </si>
  <si>
    <t>本田技研工業(株)</t>
    <rPh sb="0" eb="6">
      <t>ホンダギケンコウギョウ</t>
    </rPh>
    <rPh sb="6" eb="9">
      <t>カブシキガイシャ</t>
    </rPh>
    <phoneticPr fontId="12"/>
  </si>
  <si>
    <t>58</t>
    <phoneticPr fontId="12"/>
  </si>
  <si>
    <t>2021年9月よりｴﾝｼﾞﾆｱﾘﾝｸﾞﾋﾞｼﾞﾈｽ開発部へ移管
→2023年1月よりR&amp;D部とEB部統合</t>
    <rPh sb="4" eb="5">
      <t>ネン</t>
    </rPh>
    <rPh sb="6" eb="7">
      <t>ツキ</t>
    </rPh>
    <rPh sb="25" eb="28">
      <t>カイハツブ</t>
    </rPh>
    <rPh sb="29" eb="31">
      <t>イカン</t>
    </rPh>
    <phoneticPr fontId="7"/>
  </si>
  <si>
    <t>大丸工業(株)</t>
    <rPh sb="0" eb="2">
      <t>ダイマル</t>
    </rPh>
    <rPh sb="2" eb="4">
      <t>コウギョウ</t>
    </rPh>
    <rPh sb="4" eb="7">
      <t>カブシキガイシャ</t>
    </rPh>
    <phoneticPr fontId="7"/>
  </si>
  <si>
    <t>NTC PT</t>
    <phoneticPr fontId="7"/>
  </si>
  <si>
    <t>自動車部開発･試作ﾁｰﾑ</t>
    <rPh sb="0" eb="3">
      <t>ジドウシャ</t>
    </rPh>
    <rPh sb="3" eb="4">
      <t>ブ</t>
    </rPh>
    <rPh sb="4" eb="6">
      <t>カイハツ</t>
    </rPh>
    <rPh sb="7" eb="9">
      <t>シサク</t>
    </rPh>
    <phoneticPr fontId="7"/>
  </si>
  <si>
    <t>54111010</t>
  </si>
  <si>
    <t>(株)アイシン・デジタルエンジニアリング</t>
    <rPh sb="0" eb="3">
      <t>カブシキガイシャ</t>
    </rPh>
    <phoneticPr fontId="7"/>
  </si>
  <si>
    <t>ﾃﾞｼﾞﾀﾙ技術部</t>
    <phoneticPr fontId="7"/>
  </si>
  <si>
    <t>2023年1月よりR＆DとEB部統合</t>
    <rPh sb="4" eb="5">
      <t>ネン</t>
    </rPh>
    <rPh sb="6" eb="7">
      <t>ガツ</t>
    </rPh>
    <rPh sb="15" eb="16">
      <t>ブ</t>
    </rPh>
    <rPh sb="16" eb="18">
      <t>トウゴウ</t>
    </rPh>
    <phoneticPr fontId="7"/>
  </si>
  <si>
    <t>ビューテック(株)</t>
    <rPh sb="6" eb="9">
      <t>カブシキガイシャ</t>
    </rPh>
    <phoneticPr fontId="7"/>
  </si>
  <si>
    <t>技術ｾﾝﾀｰ 製品開発室 設計ｸﾞﾙｰﾌﾟ</t>
    <phoneticPr fontId="7"/>
  </si>
  <si>
    <t>泰東工業(株)</t>
    <rPh sb="4" eb="7">
      <t>カブシキガイシャ</t>
    </rPh>
    <phoneticPr fontId="7"/>
  </si>
  <si>
    <t>設計課</t>
  </si>
  <si>
    <t>(株)オーツ―・パートナーズ</t>
    <rPh sb="0" eb="3">
      <t>カブシキガイシャ</t>
    </rPh>
    <phoneticPr fontId="7"/>
  </si>
  <si>
    <t>外注・物品購入に対する支払い時期に関して</t>
    <rPh sb="8" eb="9">
      <t>タイ</t>
    </rPh>
    <phoneticPr fontId="7"/>
  </si>
  <si>
    <t>作成</t>
    <rPh sb="0" eb="2">
      <t>サクセイ</t>
    </rPh>
    <phoneticPr fontId="7"/>
  </si>
  <si>
    <t>１．支払い日</t>
    <phoneticPr fontId="7"/>
  </si>
  <si>
    <t>毎月 5日、15日、20日、25日、月末日</t>
    <phoneticPr fontId="7"/>
  </si>
  <si>
    <t>※休日/祝日の場合は、その前日が支払日となる</t>
    <rPh sb="1" eb="3">
      <t>キュウジツ</t>
    </rPh>
    <rPh sb="4" eb="6">
      <t>シュクジツ</t>
    </rPh>
    <rPh sb="7" eb="9">
      <t>バアイ</t>
    </rPh>
    <rPh sb="13" eb="15">
      <t>ゼンジツ</t>
    </rPh>
    <rPh sb="16" eb="19">
      <t>シハライビ</t>
    </rPh>
    <phoneticPr fontId="7"/>
  </si>
  <si>
    <t>備考(10日に支払いされない理由)</t>
    <rPh sb="0" eb="2">
      <t>ビコウ</t>
    </rPh>
    <rPh sb="5" eb="6">
      <t>ニチ</t>
    </rPh>
    <rPh sb="7" eb="9">
      <t>シハラ</t>
    </rPh>
    <rPh sb="14" eb="16">
      <t>リユウ</t>
    </rPh>
    <phoneticPr fontId="7"/>
  </si>
  <si>
    <t>基本、15日、25日、末日の3日が支払い日</t>
    <rPh sb="0" eb="2">
      <t>キホン</t>
    </rPh>
    <rPh sb="5" eb="6">
      <t>ニチ</t>
    </rPh>
    <rPh sb="9" eb="10">
      <t>ニチ</t>
    </rPh>
    <rPh sb="11" eb="12">
      <t>マツ</t>
    </rPh>
    <rPh sb="12" eb="13">
      <t>ヒ</t>
    </rPh>
    <rPh sb="15" eb="16">
      <t>ニチ</t>
    </rPh>
    <rPh sb="17" eb="19">
      <t>シハラ</t>
    </rPh>
    <rPh sb="20" eb="21">
      <t>ヒ</t>
    </rPh>
    <phoneticPr fontId="7"/>
  </si>
  <si>
    <t>5日、20日は役員への支払いがあるため、ついでに支払って頂けるとのこと</t>
    <rPh sb="1" eb="2">
      <t>ニチ</t>
    </rPh>
    <rPh sb="5" eb="6">
      <t>ニチ</t>
    </rPh>
    <rPh sb="7" eb="9">
      <t>ヤクイン</t>
    </rPh>
    <rPh sb="11" eb="13">
      <t>シハラ</t>
    </rPh>
    <rPh sb="24" eb="26">
      <t>シハラ</t>
    </rPh>
    <rPh sb="28" eb="29">
      <t>イタダ</t>
    </rPh>
    <phoneticPr fontId="7"/>
  </si>
  <si>
    <t>２．請求書必着日</t>
    <phoneticPr fontId="7"/>
  </si>
  <si>
    <t>稼働5日前</t>
    <phoneticPr fontId="7"/>
  </si>
  <si>
    <t>【例】2021年9月の場合</t>
    <rPh sb="1" eb="2">
      <t>レイ</t>
    </rPh>
    <rPh sb="7" eb="8">
      <t>ネン</t>
    </rPh>
    <rPh sb="9" eb="10">
      <t>ガツ</t>
    </rPh>
    <rPh sb="11" eb="13">
      <t>バアイ</t>
    </rPh>
    <phoneticPr fontId="7"/>
  </si>
  <si>
    <t>・5日(日)休日のため、3日(金)支払い</t>
    <rPh sb="2" eb="3">
      <t>ニチ</t>
    </rPh>
    <rPh sb="4" eb="5">
      <t>ヒ</t>
    </rPh>
    <rPh sb="6" eb="8">
      <t>キュウジツ</t>
    </rPh>
    <rPh sb="13" eb="14">
      <t>ニチ</t>
    </rPh>
    <rPh sb="15" eb="16">
      <t>キン</t>
    </rPh>
    <rPh sb="17" eb="19">
      <t>シハラ</t>
    </rPh>
    <phoneticPr fontId="7"/>
  </si>
  <si>
    <t>→　8月30日(月)必着</t>
    <phoneticPr fontId="7"/>
  </si>
  <si>
    <t>・15日(水)支払い</t>
    <rPh sb="3" eb="4">
      <t>ニチ</t>
    </rPh>
    <rPh sb="5" eb="6">
      <t>スイ</t>
    </rPh>
    <rPh sb="7" eb="9">
      <t>シハラ</t>
    </rPh>
    <phoneticPr fontId="7"/>
  </si>
  <si>
    <t>→　9日(木)必着</t>
    <phoneticPr fontId="7"/>
  </si>
  <si>
    <t>・20日(月)祝日のため、17日(金)支払い</t>
    <rPh sb="3" eb="4">
      <t>ニチ</t>
    </rPh>
    <rPh sb="5" eb="6">
      <t>ツキ</t>
    </rPh>
    <rPh sb="7" eb="9">
      <t>シュクジツ</t>
    </rPh>
    <rPh sb="15" eb="16">
      <t>ニチ</t>
    </rPh>
    <rPh sb="17" eb="18">
      <t>キン</t>
    </rPh>
    <rPh sb="19" eb="21">
      <t>シハラ</t>
    </rPh>
    <phoneticPr fontId="7"/>
  </si>
  <si>
    <t>→　13日(月)必着</t>
    <phoneticPr fontId="7"/>
  </si>
  <si>
    <t>・25日(土)休日のため、24日(金)支払い</t>
    <rPh sb="3" eb="4">
      <t>ニチ</t>
    </rPh>
    <rPh sb="5" eb="6">
      <t>ド</t>
    </rPh>
    <rPh sb="7" eb="9">
      <t>キュウジツ</t>
    </rPh>
    <rPh sb="15" eb="16">
      <t>ニチ</t>
    </rPh>
    <rPh sb="17" eb="18">
      <t>キン</t>
    </rPh>
    <rPh sb="19" eb="21">
      <t>シハラ</t>
    </rPh>
    <phoneticPr fontId="7"/>
  </si>
  <si>
    <t>→　20日(月)必着</t>
    <phoneticPr fontId="7"/>
  </si>
  <si>
    <t>・30日(木)支払い</t>
    <rPh sb="3" eb="4">
      <t>ニチ</t>
    </rPh>
    <rPh sb="5" eb="6">
      <t>キ</t>
    </rPh>
    <rPh sb="7" eb="9">
      <t>シハラ</t>
    </rPh>
    <phoneticPr fontId="7"/>
  </si>
  <si>
    <t>→　24日(金)必着</t>
    <phoneticPr fontId="7"/>
  </si>
  <si>
    <t>３．上記支払日以外で支払って頂きたい場合</t>
    <rPh sb="2" eb="4">
      <t>ジョウキ</t>
    </rPh>
    <rPh sb="4" eb="7">
      <t>シハライビ</t>
    </rPh>
    <rPh sb="7" eb="9">
      <t>イガイ</t>
    </rPh>
    <rPh sb="10" eb="12">
      <t>シハラ</t>
    </rPh>
    <rPh sb="14" eb="15">
      <t>イタダ</t>
    </rPh>
    <rPh sb="18" eb="20">
      <t>バアイ</t>
    </rPh>
    <phoneticPr fontId="7"/>
  </si>
  <si>
    <t>至急支払い稟議申請を行う</t>
    <rPh sb="0" eb="2">
      <t>シキュウ</t>
    </rPh>
    <rPh sb="2" eb="4">
      <t>シハラ</t>
    </rPh>
    <rPh sb="5" eb="7">
      <t>リンギ</t>
    </rPh>
    <rPh sb="7" eb="9">
      <t>シンセイ</t>
    </rPh>
    <rPh sb="10" eb="11">
      <t>オコナ</t>
    </rPh>
    <phoneticPr fontId="7"/>
  </si>
  <si>
    <t>エンジニアリングサービス部　採番ルール</t>
    <rPh sb="12" eb="13">
      <t>ブ</t>
    </rPh>
    <rPh sb="14" eb="16">
      <t>サイバン</t>
    </rPh>
    <phoneticPr fontId="7"/>
  </si>
  <si>
    <t>更新</t>
    <rPh sb="0" eb="2">
      <t>コウシン</t>
    </rPh>
    <phoneticPr fontId="7"/>
  </si>
  <si>
    <t>※４訂正、５追加</t>
    <rPh sb="2" eb="4">
      <t>テイセイ</t>
    </rPh>
    <rPh sb="6" eb="8">
      <t>ツイカ</t>
    </rPh>
    <phoneticPr fontId="7"/>
  </si>
  <si>
    <t>※４追加</t>
    <rPh sb="2" eb="4">
      <t>ツイカ</t>
    </rPh>
    <phoneticPr fontId="7"/>
  </si>
  <si>
    <t>現在</t>
    <rPh sb="0" eb="2">
      <t>ゲンザイ</t>
    </rPh>
    <phoneticPr fontId="7"/>
  </si>
  <si>
    <t>１．見積書番号と請求書番号は同じ番号とする</t>
    <rPh sb="2" eb="5">
      <t>ミツモリショ</t>
    </rPh>
    <rPh sb="5" eb="7">
      <t>バンゴウ</t>
    </rPh>
    <rPh sb="8" eb="11">
      <t>セイキュウショ</t>
    </rPh>
    <rPh sb="11" eb="13">
      <t>バンゴウ</t>
    </rPh>
    <rPh sb="14" eb="15">
      <t>オナ</t>
    </rPh>
    <rPh sb="16" eb="18">
      <t>バンゴウ</t>
    </rPh>
    <phoneticPr fontId="7"/>
  </si>
  <si>
    <t>トヨタ紡織の場合</t>
    <rPh sb="3" eb="5">
      <t>ボウショク</t>
    </rPh>
    <rPh sb="6" eb="8">
      <t>バアイ</t>
    </rPh>
    <phoneticPr fontId="7"/>
  </si>
  <si>
    <t>連番</t>
    <rPh sb="0" eb="2">
      <t>レンバン</t>
    </rPh>
    <phoneticPr fontId="7"/>
  </si>
  <si>
    <t>１６</t>
    <phoneticPr fontId="7"/>
  </si>
  <si>
    <t>１０１</t>
    <phoneticPr fontId="7"/>
  </si>
  <si>
    <t>００１</t>
    <phoneticPr fontId="7"/>
  </si>
  <si>
    <t>※企業コードは管理部確認</t>
    <rPh sb="1" eb="3">
      <t>キギョウ</t>
    </rPh>
    <rPh sb="7" eb="10">
      <t>カンリブ</t>
    </rPh>
    <rPh sb="10" eb="12">
      <t>カクニン</t>
    </rPh>
    <phoneticPr fontId="7"/>
  </si>
  <si>
    <t>見積書NO.</t>
    <rPh sb="0" eb="3">
      <t>ミツモリショ</t>
    </rPh>
    <phoneticPr fontId="7"/>
  </si>
  <si>
    <t>請求書NO.</t>
    <rPh sb="0" eb="3">
      <t>セイキュウショ</t>
    </rPh>
    <phoneticPr fontId="7"/>
  </si>
  <si>
    <t>２．見積書1件につき請求書を複数件発行する場合は、-1,2,3…をふる</t>
    <rPh sb="2" eb="5">
      <t>ミツモリショ</t>
    </rPh>
    <rPh sb="6" eb="7">
      <t>ケン</t>
    </rPh>
    <rPh sb="10" eb="13">
      <t>セイキュウショ</t>
    </rPh>
    <rPh sb="14" eb="16">
      <t>フクスウ</t>
    </rPh>
    <rPh sb="16" eb="17">
      <t>ケン</t>
    </rPh>
    <rPh sb="17" eb="19">
      <t>ハッコウ</t>
    </rPh>
    <rPh sb="21" eb="23">
      <t>バアイ</t>
    </rPh>
    <phoneticPr fontId="7"/>
  </si>
  <si>
    <t>3月請求書NO.</t>
    <rPh sb="1" eb="2">
      <t>ツキ</t>
    </rPh>
    <rPh sb="2" eb="5">
      <t>セイキュウショ</t>
    </rPh>
    <phoneticPr fontId="7"/>
  </si>
  <si>
    <t>16101002-1</t>
    <phoneticPr fontId="7"/>
  </si>
  <si>
    <t>6月請求書NO.</t>
    <rPh sb="1" eb="2">
      <t>ツキ</t>
    </rPh>
    <rPh sb="2" eb="5">
      <t>セイキュウショ</t>
    </rPh>
    <phoneticPr fontId="7"/>
  </si>
  <si>
    <t>16101002-2</t>
    <phoneticPr fontId="7"/>
  </si>
  <si>
    <t>３．出張経費の請求書を発行する場合は-Sをふる</t>
    <rPh sb="2" eb="4">
      <t>シュッチョウ</t>
    </rPh>
    <rPh sb="4" eb="6">
      <t>ケイヒ</t>
    </rPh>
    <rPh sb="7" eb="10">
      <t>セイキュウショ</t>
    </rPh>
    <rPh sb="11" eb="13">
      <t>ハッコウ</t>
    </rPh>
    <rPh sb="15" eb="17">
      <t>バアイ</t>
    </rPh>
    <phoneticPr fontId="7"/>
  </si>
  <si>
    <t>16101003-S</t>
    <phoneticPr fontId="7"/>
  </si>
  <si>
    <t>４．注文書を発行する場合は下記の通りとする</t>
    <rPh sb="2" eb="5">
      <t>チュウモンショ</t>
    </rPh>
    <rPh sb="6" eb="8">
      <t>ハッコウ</t>
    </rPh>
    <rPh sb="10" eb="12">
      <t>バアイ</t>
    </rPh>
    <rPh sb="13" eb="15">
      <t>カキ</t>
    </rPh>
    <rPh sb="16" eb="17">
      <t>トオ</t>
    </rPh>
    <phoneticPr fontId="7"/>
  </si>
  <si>
    <t>日産PTの場合</t>
    <rPh sb="0" eb="2">
      <t>ニッサン</t>
    </rPh>
    <rPh sb="5" eb="7">
      <t>バアイ</t>
    </rPh>
    <phoneticPr fontId="7"/>
  </si>
  <si>
    <t>期</t>
    <rPh sb="0" eb="1">
      <t>キ</t>
    </rPh>
    <phoneticPr fontId="7"/>
  </si>
  <si>
    <t>５４</t>
    <phoneticPr fontId="7"/>
  </si>
  <si>
    <t>１</t>
    <phoneticPr fontId="7"/>
  </si>
  <si>
    <t>２３</t>
    <phoneticPr fontId="7"/>
  </si>
  <si>
    <t>注文書NO.</t>
    <rPh sb="0" eb="3">
      <t>チュウモンショ</t>
    </rPh>
    <phoneticPr fontId="7"/>
  </si>
  <si>
    <t>４．注文書番号と稟議書番号は同じ番号とする</t>
    <rPh sb="2" eb="5">
      <t>チュウモンショ</t>
    </rPh>
    <rPh sb="5" eb="7">
      <t>バンゴウ</t>
    </rPh>
    <rPh sb="8" eb="11">
      <t>リンギショ</t>
    </rPh>
    <rPh sb="11" eb="13">
      <t>バンゴウ</t>
    </rPh>
    <phoneticPr fontId="7"/>
  </si>
  <si>
    <t>稟議書NO.</t>
    <rPh sb="0" eb="2">
      <t>リンギ</t>
    </rPh>
    <rPh sb="2" eb="3">
      <t>ショ</t>
    </rPh>
    <phoneticPr fontId="7"/>
  </si>
  <si>
    <t>５．稟議書1件につき注文書を複数件発行する場合は、-1,2,3…をふる</t>
    <rPh sb="2" eb="5">
      <t>リンギショ</t>
    </rPh>
    <rPh sb="6" eb="7">
      <t>ケン</t>
    </rPh>
    <rPh sb="10" eb="13">
      <t>チュウモンショ</t>
    </rPh>
    <rPh sb="14" eb="16">
      <t>フクスウ</t>
    </rPh>
    <rPh sb="16" eb="17">
      <t>ケン</t>
    </rPh>
    <rPh sb="17" eb="19">
      <t>ハッコウ</t>
    </rPh>
    <rPh sb="21" eb="23">
      <t>バアイ</t>
    </rPh>
    <phoneticPr fontId="7"/>
  </si>
  <si>
    <t>2090-1</t>
    <phoneticPr fontId="7"/>
  </si>
  <si>
    <t>2090-2</t>
  </si>
  <si>
    <t>見積！</t>
    <rPh sb="0" eb="2">
      <t>ミツモリ</t>
    </rPh>
    <phoneticPr fontId="7"/>
  </si>
  <si>
    <t>見積着手</t>
    <rPh sb="0" eb="2">
      <t>ミツモリ</t>
    </rPh>
    <rPh sb="2" eb="4">
      <t>チャクシュ</t>
    </rPh>
    <phoneticPr fontId="7"/>
  </si>
  <si>
    <t>確認中</t>
    <rPh sb="0" eb="2">
      <t>カクニン</t>
    </rPh>
    <rPh sb="2" eb="3">
      <t>チュウ</t>
    </rPh>
    <phoneticPr fontId="7"/>
  </si>
  <si>
    <t>見積完了</t>
    <rPh sb="0" eb="2">
      <t>ミツモリ</t>
    </rPh>
    <rPh sb="2" eb="4">
      <t>カンリョウ</t>
    </rPh>
    <phoneticPr fontId="7"/>
  </si>
  <si>
    <t>請求着手</t>
    <rPh sb="0" eb="2">
      <t>セイキュウ</t>
    </rPh>
    <rPh sb="2" eb="4">
      <t>チャクシュ</t>
    </rPh>
    <phoneticPr fontId="7"/>
  </si>
  <si>
    <t>開始待ち</t>
    <rPh sb="0" eb="2">
      <t>カイシ</t>
    </rPh>
    <rPh sb="2" eb="3">
      <t>マ</t>
    </rPh>
    <phoneticPr fontId="7"/>
  </si>
  <si>
    <t>未着手</t>
    <rPh sb="0" eb="3">
      <t>ミチャクシュ</t>
    </rPh>
    <phoneticPr fontId="7"/>
  </si>
  <si>
    <t>入金待ち</t>
    <rPh sb="0" eb="2">
      <t>ニュウキン</t>
    </rPh>
    <rPh sb="2" eb="3">
      <t>マ</t>
    </rPh>
    <phoneticPr fontId="7"/>
  </si>
  <si>
    <t>中止</t>
    <rPh sb="0" eb="2">
      <t>チュウシ</t>
    </rPh>
    <phoneticPr fontId="7"/>
  </si>
  <si>
    <t>保留</t>
    <rPh sb="0" eb="2">
      <t>ホリュウ</t>
    </rPh>
    <phoneticPr fontId="7"/>
  </si>
  <si>
    <t>客先待ち</t>
    <rPh sb="0" eb="2">
      <t>キャクサキ</t>
    </rPh>
    <rPh sb="2" eb="3">
      <t>マ</t>
    </rPh>
    <phoneticPr fontId="7"/>
  </si>
  <si>
    <t>移管</t>
    <rPh sb="0" eb="2">
      <t>イカン</t>
    </rPh>
    <phoneticPr fontId="7"/>
  </si>
  <si>
    <t>9月</t>
    <rPh sb="1" eb="2">
      <t>ガツ</t>
    </rPh>
    <phoneticPr fontId="7"/>
  </si>
  <si>
    <t>9月</t>
    <rPh sb="1" eb="2">
      <t>ガツ</t>
    </rPh>
    <phoneticPr fontId="7"/>
  </si>
  <si>
    <t>9月</t>
    <rPh sb="1" eb="2">
      <t>ガツ</t>
    </rPh>
    <phoneticPr fontId="7"/>
  </si>
  <si>
    <t>9月</t>
    <rPh sb="1" eb="2">
      <t>ガツ</t>
    </rPh>
    <phoneticPr fontId="7"/>
  </si>
  <si>
    <t>410D</t>
    <phoneticPr fontId="7"/>
  </si>
  <si>
    <t>8月</t>
    <rPh sb="1" eb="2">
      <t>ガツ</t>
    </rPh>
    <phoneticPr fontId="7"/>
  </si>
  <si>
    <t>X1T8 他社販骨格開</t>
    <phoneticPr fontId="7"/>
  </si>
  <si>
    <t>9月</t>
    <rPh sb="1" eb="2">
      <t>ガツ</t>
    </rPh>
    <phoneticPr fontId="7"/>
  </si>
  <si>
    <t>トヨタ紡織欧州</t>
    <rPh sb="5" eb="7">
      <t>オウシュウ</t>
    </rPh>
    <phoneticPr fontId="7"/>
  </si>
  <si>
    <t>FR被せシート開発</t>
    <rPh sb="2" eb="3">
      <t>カブ</t>
    </rPh>
    <rPh sb="7" eb="9">
      <t>カイハツ</t>
    </rPh>
    <phoneticPr fontId="7"/>
  </si>
  <si>
    <t>齊藤</t>
    <rPh sb="0" eb="2">
      <t>サイトウ</t>
    </rPh>
    <phoneticPr fontId="7"/>
  </si>
  <si>
    <t>10月</t>
    <rPh sb="2" eb="3">
      <t>ガツ</t>
    </rPh>
    <phoneticPr fontId="7"/>
  </si>
  <si>
    <t>ITK10742</t>
    <phoneticPr fontId="7"/>
  </si>
  <si>
    <t>351D台座FRM開発</t>
    <rPh sb="4" eb="6">
      <t>ダイザ</t>
    </rPh>
    <rPh sb="9" eb="11">
      <t>カイハツ</t>
    </rPh>
    <phoneticPr fontId="7"/>
  </si>
  <si>
    <t>10月</t>
    <phoneticPr fontId="7"/>
  </si>
  <si>
    <t>ITK10868</t>
    <phoneticPr fontId="7"/>
  </si>
  <si>
    <t>月TB</t>
    <rPh sb="0" eb="1">
      <t>ガツ</t>
    </rPh>
    <phoneticPr fontId="7"/>
  </si>
  <si>
    <t>Rrシート骨格設計部第3設計室</t>
    <rPh sb="10" eb="11">
      <t>ダイ</t>
    </rPh>
    <rPh sb="12" eb="14">
      <t>セッケイ</t>
    </rPh>
    <rPh sb="14" eb="15">
      <t>シツ</t>
    </rPh>
    <phoneticPr fontId="7"/>
  </si>
  <si>
    <t>Rrシート骨格設計部第4設計室</t>
    <rPh sb="10" eb="11">
      <t>ダイ</t>
    </rPh>
    <rPh sb="12" eb="14">
      <t>セッケイ</t>
    </rPh>
    <rPh sb="14" eb="15">
      <t>シツ</t>
    </rPh>
    <phoneticPr fontId="7"/>
  </si>
  <si>
    <t>Rrシート骨格設計部第5設計室</t>
    <rPh sb="10" eb="11">
      <t>ダイ</t>
    </rPh>
    <rPh sb="12" eb="14">
      <t>セッケイ</t>
    </rPh>
    <rPh sb="14" eb="15">
      <t>シツ</t>
    </rPh>
    <phoneticPr fontId="7"/>
  </si>
  <si>
    <t>500DFrシート骨格開発</t>
    <rPh sb="9" eb="11">
      <t>コッカク</t>
    </rPh>
    <rPh sb="11" eb="13">
      <t>カイハツ</t>
    </rPh>
    <phoneticPr fontId="7"/>
  </si>
  <si>
    <t>ドアトリム設計部</t>
    <phoneticPr fontId="7"/>
  </si>
  <si>
    <t>SHC部品開発</t>
    <rPh sb="3" eb="5">
      <t>ブヒン</t>
    </rPh>
    <rPh sb="5" eb="7">
      <t>カイハツ</t>
    </rPh>
    <phoneticPr fontId="7"/>
  </si>
  <si>
    <t>齊藤</t>
    <phoneticPr fontId="7"/>
  </si>
  <si>
    <t>SUBARU　28BEV RFQ対応</t>
    <rPh sb="16" eb="18">
      <t>タイオウ</t>
    </rPh>
    <phoneticPr fontId="7"/>
  </si>
  <si>
    <t>581D Frシート骨格開発</t>
    <rPh sb="10" eb="14">
      <t>コッカクカイハツ</t>
    </rPh>
    <phoneticPr fontId="7"/>
  </si>
  <si>
    <t>12月</t>
    <phoneticPr fontId="7"/>
  </si>
  <si>
    <t>ITK11355</t>
    <phoneticPr fontId="7"/>
  </si>
  <si>
    <t>設計品質改善会の運営のサポート</t>
    <rPh sb="8" eb="10">
      <t>ウンエイ</t>
    </rPh>
    <phoneticPr fontId="7"/>
  </si>
  <si>
    <t>16113010</t>
  </si>
  <si>
    <t>16113011</t>
  </si>
  <si>
    <t>16113012</t>
  </si>
  <si>
    <t>16113013</t>
  </si>
  <si>
    <t>16113014</t>
  </si>
  <si>
    <t>2024年</t>
    <rPh sb="4" eb="5">
      <t>ネン</t>
    </rPh>
    <phoneticPr fontId="7"/>
  </si>
  <si>
    <t>ITK11621</t>
    <phoneticPr fontId="7"/>
  </si>
  <si>
    <t>ITK11502</t>
    <phoneticPr fontId="7"/>
  </si>
  <si>
    <t>650D</t>
    <phoneticPr fontId="7"/>
  </si>
  <si>
    <t>１月</t>
    <rPh sb="1" eb="2">
      <t>ガツ</t>
    </rPh>
    <phoneticPr fontId="7"/>
  </si>
  <si>
    <t>ITK11614</t>
    <phoneticPr fontId="7"/>
  </si>
  <si>
    <t>ITK11539</t>
    <phoneticPr fontId="7"/>
  </si>
  <si>
    <t>ITK11528</t>
    <phoneticPr fontId="7"/>
  </si>
  <si>
    <t>ITK11533</t>
    <phoneticPr fontId="7"/>
  </si>
  <si>
    <t>ITK11532</t>
    <phoneticPr fontId="7"/>
  </si>
  <si>
    <t>ITK11559</t>
    <phoneticPr fontId="7"/>
  </si>
  <si>
    <t>ITK11574</t>
    <phoneticPr fontId="7"/>
  </si>
  <si>
    <t>SHC部品開発委託</t>
    <rPh sb="3" eb="5">
      <t>ブヒン</t>
    </rPh>
    <rPh sb="5" eb="7">
      <t>カイハツ</t>
    </rPh>
    <rPh sb="7" eb="9">
      <t>イタク</t>
    </rPh>
    <phoneticPr fontId="7"/>
  </si>
  <si>
    <t>ITK11380</t>
    <phoneticPr fontId="7"/>
  </si>
  <si>
    <t>12月</t>
    <rPh sb="2" eb="3">
      <t>ガツ</t>
    </rPh>
    <phoneticPr fontId="7"/>
  </si>
  <si>
    <t>ITK11372</t>
    <phoneticPr fontId="7"/>
  </si>
  <si>
    <t>650Dイルミ</t>
    <phoneticPr fontId="7"/>
  </si>
  <si>
    <t>2月</t>
    <phoneticPr fontId="7"/>
  </si>
  <si>
    <t>1月</t>
    <rPh sb="1" eb="2">
      <t>ガツ</t>
    </rPh>
    <phoneticPr fontId="7"/>
  </si>
  <si>
    <t>内外装事業本部　内外装実験部</t>
    <rPh sb="0" eb="3">
      <t>ナイガイソウ</t>
    </rPh>
    <rPh sb="3" eb="7">
      <t>ジギョウホンブ</t>
    </rPh>
    <rPh sb="8" eb="14">
      <t>ナイガイソウジッケンブ</t>
    </rPh>
    <phoneticPr fontId="7"/>
  </si>
  <si>
    <t>CAE用物性データ変換</t>
    <phoneticPr fontId="7"/>
  </si>
  <si>
    <t>２月</t>
    <phoneticPr fontId="7"/>
  </si>
  <si>
    <t>SHC部品開発委託</t>
    <phoneticPr fontId="7"/>
  </si>
  <si>
    <t>シートモック制作・設計</t>
    <rPh sb="6" eb="8">
      <t>セイサク</t>
    </rPh>
    <rPh sb="9" eb="11">
      <t>セッケイ</t>
    </rPh>
    <phoneticPr fontId="7"/>
  </si>
  <si>
    <t>ドアトリム設計部第1ドアトリム設計室</t>
  </si>
  <si>
    <t>700W他_号口管理</t>
  </si>
  <si>
    <t>ドアトリム設計部先行設計室</t>
  </si>
  <si>
    <t>競争力BMC</t>
  </si>
  <si>
    <t>No,14の再見積もり（工数変更による金額変更）</t>
    <rPh sb="6" eb="9">
      <t>サイミツ</t>
    </rPh>
    <rPh sb="12" eb="16">
      <t>コウスウヘンコウ</t>
    </rPh>
    <rPh sb="19" eb="23">
      <t>キンガクヘンコウ</t>
    </rPh>
    <phoneticPr fontId="7"/>
  </si>
  <si>
    <t>金額変更により取り消し（No,16）</t>
    <rPh sb="0" eb="2">
      <t>キンガク</t>
    </rPh>
    <rPh sb="2" eb="4">
      <t>ヘンコウ</t>
    </rPh>
    <rPh sb="7" eb="8">
      <t>ト</t>
    </rPh>
    <rPh sb="9" eb="10">
      <t>ケ</t>
    </rPh>
    <phoneticPr fontId="7"/>
  </si>
  <si>
    <t>4月</t>
    <phoneticPr fontId="7"/>
  </si>
  <si>
    <t>4月</t>
    <phoneticPr fontId="7"/>
  </si>
  <si>
    <t>ITK12247</t>
    <phoneticPr fontId="7"/>
  </si>
  <si>
    <t>440D</t>
    <phoneticPr fontId="7"/>
  </si>
  <si>
    <t>4月</t>
    <rPh sb="1" eb="2">
      <t>ガツ</t>
    </rPh>
    <phoneticPr fontId="7"/>
  </si>
  <si>
    <t>ITK12248</t>
    <phoneticPr fontId="7"/>
  </si>
  <si>
    <t>ITK12303</t>
    <phoneticPr fontId="7"/>
  </si>
  <si>
    <t>410D</t>
    <phoneticPr fontId="7"/>
  </si>
  <si>
    <t>ITK12409</t>
    <phoneticPr fontId="7"/>
  </si>
  <si>
    <t>450D</t>
    <phoneticPr fontId="7"/>
  </si>
  <si>
    <t>ITK12423</t>
    <phoneticPr fontId="7"/>
  </si>
  <si>
    <t>ITK12424</t>
    <phoneticPr fontId="7"/>
  </si>
  <si>
    <t>410D（H/R標準化）</t>
    <rPh sb="8" eb="11">
      <t>ヒョウジュンカ</t>
    </rPh>
    <phoneticPr fontId="7"/>
  </si>
  <si>
    <t>ITK12307</t>
    <phoneticPr fontId="7"/>
  </si>
  <si>
    <t>ITK12414</t>
    <phoneticPr fontId="7"/>
  </si>
  <si>
    <t>Frシート骨格設計部骨格開発室</t>
    <rPh sb="10" eb="12">
      <t>コッカク</t>
    </rPh>
    <rPh sb="12" eb="14">
      <t>カイハツ</t>
    </rPh>
    <phoneticPr fontId="7"/>
  </si>
  <si>
    <t>ITK12318</t>
    <phoneticPr fontId="7"/>
  </si>
  <si>
    <t>STEP3薄型PWRクッションフレーム</t>
    <rPh sb="5" eb="7">
      <t>ウスガタ</t>
    </rPh>
    <phoneticPr fontId="7"/>
  </si>
  <si>
    <t>ITK12443</t>
    <phoneticPr fontId="7"/>
  </si>
  <si>
    <t>Frシート骨格設計部第1設計室</t>
    <phoneticPr fontId="7"/>
  </si>
  <si>
    <t>ITK12468</t>
    <phoneticPr fontId="7"/>
  </si>
  <si>
    <t>2.5巡目車種展</t>
    <rPh sb="3" eb="5">
      <t>ジュンメ</t>
    </rPh>
    <rPh sb="5" eb="7">
      <t>シャシュ</t>
    </rPh>
    <rPh sb="7" eb="8">
      <t>テン</t>
    </rPh>
    <phoneticPr fontId="7"/>
  </si>
  <si>
    <t>ITK12274</t>
    <phoneticPr fontId="7"/>
  </si>
  <si>
    <t>ITK12428</t>
    <phoneticPr fontId="7"/>
  </si>
  <si>
    <t>ITK12486</t>
    <phoneticPr fontId="7"/>
  </si>
  <si>
    <t>ITK12510</t>
    <phoneticPr fontId="7"/>
  </si>
  <si>
    <t>ITK12511</t>
    <phoneticPr fontId="7"/>
  </si>
  <si>
    <t>ITK12537</t>
    <phoneticPr fontId="7"/>
  </si>
  <si>
    <t>ITK12536</t>
    <phoneticPr fontId="7"/>
  </si>
  <si>
    <t>D92A号口</t>
    <rPh sb="4" eb="6">
      <t>ゴウグチ</t>
    </rPh>
    <phoneticPr fontId="7"/>
  </si>
  <si>
    <t>'24/4/6</t>
    <phoneticPr fontId="7"/>
  </si>
  <si>
    <t>5月</t>
    <phoneticPr fontId="7"/>
  </si>
  <si>
    <t>設計品質改善室</t>
    <rPh sb="0" eb="4">
      <t>セッケイヒンシツ</t>
    </rPh>
    <rPh sb="4" eb="7">
      <t>カイゼンシツ</t>
    </rPh>
    <phoneticPr fontId="7"/>
  </si>
  <si>
    <t>ITK12533</t>
    <phoneticPr fontId="7"/>
  </si>
  <si>
    <t>612W号口</t>
    <phoneticPr fontId="7"/>
  </si>
  <si>
    <t>'24/4/11</t>
    <phoneticPr fontId="7"/>
  </si>
  <si>
    <t>ITK12527</t>
    <phoneticPr fontId="7"/>
  </si>
  <si>
    <t>ITK12598</t>
    <phoneticPr fontId="7"/>
  </si>
  <si>
    <t>ITK12539</t>
    <phoneticPr fontId="7"/>
  </si>
  <si>
    <t>ITK12620</t>
    <phoneticPr fontId="7"/>
  </si>
  <si>
    <t>440Ｄ</t>
    <phoneticPr fontId="7"/>
  </si>
  <si>
    <t>5月</t>
    <rPh sb="1" eb="2">
      <t>ガツ</t>
    </rPh>
    <phoneticPr fontId="7"/>
  </si>
  <si>
    <t>ITK12621</t>
    <phoneticPr fontId="7"/>
  </si>
  <si>
    <t>グローバルシート設計部</t>
    <rPh sb="10" eb="11">
      <t>ブ</t>
    </rPh>
    <phoneticPr fontId="7"/>
  </si>
  <si>
    <t>ITK12632</t>
    <phoneticPr fontId="7"/>
  </si>
  <si>
    <t>'24/4/19</t>
    <phoneticPr fontId="7"/>
  </si>
  <si>
    <t>ITK12635</t>
    <phoneticPr fontId="7"/>
  </si>
  <si>
    <t>ITK12636</t>
    <phoneticPr fontId="7"/>
  </si>
  <si>
    <t>ITK12637</t>
    <phoneticPr fontId="7"/>
  </si>
  <si>
    <t>ITK12638</t>
    <phoneticPr fontId="7"/>
  </si>
  <si>
    <t>ITK12654</t>
    <phoneticPr fontId="7"/>
  </si>
  <si>
    <t>ACT事業部</t>
    <rPh sb="5" eb="6">
      <t>ブ</t>
    </rPh>
    <phoneticPr fontId="7"/>
  </si>
  <si>
    <t>ITK12682</t>
    <phoneticPr fontId="7"/>
  </si>
  <si>
    <t>ITK12689</t>
    <phoneticPr fontId="7"/>
  </si>
  <si>
    <t>ITK12696</t>
    <phoneticPr fontId="7"/>
  </si>
  <si>
    <t>ITK12701</t>
    <phoneticPr fontId="7"/>
  </si>
  <si>
    <t>ITK12723</t>
    <phoneticPr fontId="7"/>
  </si>
  <si>
    <t>第4ｼｰﾄ設計部</t>
    <phoneticPr fontId="12"/>
  </si>
  <si>
    <t>第4シート設計部</t>
    <rPh sb="0" eb="1">
      <t>ダイ</t>
    </rPh>
    <rPh sb="5" eb="8">
      <t>セッケイブ</t>
    </rPh>
    <phoneticPr fontId="7"/>
  </si>
  <si>
    <t>QA08 TB3</t>
    <phoneticPr fontId="7"/>
  </si>
  <si>
    <t>ITK12712</t>
    <phoneticPr fontId="7"/>
  </si>
  <si>
    <t>第4シート設計部</t>
    <phoneticPr fontId="7"/>
  </si>
  <si>
    <t>ITK12730</t>
    <phoneticPr fontId="7"/>
  </si>
  <si>
    <t>410D TB3</t>
    <phoneticPr fontId="7"/>
  </si>
  <si>
    <t>ITK12731</t>
    <phoneticPr fontId="7"/>
  </si>
  <si>
    <t>450D TB3</t>
    <phoneticPr fontId="7"/>
  </si>
  <si>
    <t>ITK12662</t>
    <phoneticPr fontId="7"/>
  </si>
  <si>
    <t>ITK12747</t>
    <phoneticPr fontId="7"/>
  </si>
  <si>
    <t>ITK12758</t>
    <phoneticPr fontId="7"/>
  </si>
  <si>
    <t>デバイス開発領域</t>
    <phoneticPr fontId="7"/>
  </si>
  <si>
    <t>ドアトリム設計部照明設計室</t>
    <rPh sb="5" eb="7">
      <t>セッケイ</t>
    </rPh>
    <rPh sb="7" eb="8">
      <t>ブ</t>
    </rPh>
    <rPh sb="8" eb="10">
      <t>ショウメイ</t>
    </rPh>
    <rPh sb="10" eb="12">
      <t>セッケイ</t>
    </rPh>
    <rPh sb="12" eb="13">
      <t>シツ</t>
    </rPh>
    <phoneticPr fontId="7"/>
  </si>
  <si>
    <t>ITK12846</t>
    <phoneticPr fontId="7"/>
  </si>
  <si>
    <t>ITK12771</t>
    <phoneticPr fontId="7"/>
  </si>
  <si>
    <t>ITK12828</t>
    <phoneticPr fontId="7"/>
  </si>
  <si>
    <t>ITK12951</t>
    <phoneticPr fontId="7"/>
  </si>
  <si>
    <t>ITK12977</t>
    <phoneticPr fontId="7"/>
  </si>
  <si>
    <t>ITK12956</t>
    <phoneticPr fontId="7"/>
  </si>
  <si>
    <t>ITK12967</t>
    <phoneticPr fontId="7"/>
  </si>
  <si>
    <t>ITK12961</t>
    <phoneticPr fontId="7"/>
  </si>
  <si>
    <t>ITK12931</t>
    <phoneticPr fontId="7"/>
  </si>
  <si>
    <t>ITK12887</t>
    <phoneticPr fontId="7"/>
  </si>
  <si>
    <t>ITK12889</t>
    <phoneticPr fontId="7"/>
  </si>
  <si>
    <t>ITK12871</t>
    <phoneticPr fontId="7"/>
  </si>
  <si>
    <t>ITK12858</t>
    <phoneticPr fontId="7"/>
  </si>
  <si>
    <t>ITK12807</t>
    <phoneticPr fontId="7"/>
  </si>
  <si>
    <t>ITK12855</t>
    <phoneticPr fontId="7"/>
  </si>
  <si>
    <t>'24/5/23</t>
    <phoneticPr fontId="7"/>
  </si>
  <si>
    <t>ITK12827</t>
    <phoneticPr fontId="7"/>
  </si>
  <si>
    <t>ITK12825</t>
    <phoneticPr fontId="7"/>
  </si>
  <si>
    <t>ITK12824</t>
    <phoneticPr fontId="7"/>
  </si>
  <si>
    <t>ITK12823</t>
    <phoneticPr fontId="7"/>
  </si>
  <si>
    <t>ITK12822</t>
    <phoneticPr fontId="7"/>
  </si>
  <si>
    <t>Rrシート骨格設計部第1設計室</t>
    <rPh sb="10" eb="11">
      <t>ダイ</t>
    </rPh>
    <rPh sb="12" eb="14">
      <t>セッケイ</t>
    </rPh>
    <rPh sb="14" eb="15">
      <t>シツ</t>
    </rPh>
    <phoneticPr fontId="7"/>
  </si>
  <si>
    <t>ITK12782</t>
    <phoneticPr fontId="7"/>
  </si>
  <si>
    <t>ITK12999</t>
    <phoneticPr fontId="7"/>
  </si>
  <si>
    <t>設計標準化業務</t>
    <rPh sb="0" eb="2">
      <t>セッケイ</t>
    </rPh>
    <rPh sb="2" eb="5">
      <t>ヒョウジュンカ</t>
    </rPh>
    <rPh sb="5" eb="7">
      <t>ギョウム</t>
    </rPh>
    <phoneticPr fontId="7"/>
  </si>
  <si>
    <t>24/5/28</t>
    <phoneticPr fontId="7"/>
  </si>
  <si>
    <t>TBN-24-003</t>
    <phoneticPr fontId="7"/>
  </si>
  <si>
    <t>ITK12992</t>
    <phoneticPr fontId="7"/>
  </si>
  <si>
    <t>190Dサービスホールカバー</t>
    <phoneticPr fontId="7"/>
  </si>
  <si>
    <t>ITK13033</t>
    <phoneticPr fontId="7"/>
  </si>
  <si>
    <t>400D</t>
    <phoneticPr fontId="7"/>
  </si>
  <si>
    <t>24/5/31</t>
    <phoneticPr fontId="7"/>
  </si>
  <si>
    <t>-</t>
    <phoneticPr fontId="7"/>
  </si>
  <si>
    <t>7月</t>
    <phoneticPr fontId="7"/>
  </si>
  <si>
    <t>TBN-24-004</t>
    <phoneticPr fontId="7"/>
  </si>
  <si>
    <t>24/6/17</t>
    <phoneticPr fontId="7"/>
  </si>
  <si>
    <t>'24/6/24</t>
    <phoneticPr fontId="7"/>
  </si>
  <si>
    <t>7-8月</t>
    <rPh sb="3" eb="4">
      <t>ガツ</t>
    </rPh>
    <phoneticPr fontId="7"/>
  </si>
  <si>
    <t>8月</t>
    <phoneticPr fontId="7"/>
  </si>
  <si>
    <t>８月</t>
    <rPh sb="1" eb="2">
      <t>ガツ</t>
    </rPh>
    <phoneticPr fontId="7"/>
  </si>
  <si>
    <t>'24/7/16</t>
    <phoneticPr fontId="7"/>
  </si>
  <si>
    <t>'24/7/18</t>
    <phoneticPr fontId="7"/>
  </si>
  <si>
    <t>'24/7/22</t>
    <phoneticPr fontId="7"/>
  </si>
  <si>
    <t>TBN-24-008</t>
    <phoneticPr fontId="7"/>
  </si>
  <si>
    <t>9月</t>
    <phoneticPr fontId="7"/>
  </si>
  <si>
    <t>190D</t>
    <phoneticPr fontId="7"/>
  </si>
  <si>
    <t>'24/8/8</t>
    <phoneticPr fontId="7"/>
  </si>
  <si>
    <t>'24/8/21</t>
    <phoneticPr fontId="7"/>
  </si>
  <si>
    <t>'24/8/23</t>
    <phoneticPr fontId="7"/>
  </si>
  <si>
    <t>'24/9/2</t>
    <phoneticPr fontId="7"/>
  </si>
  <si>
    <t>'24/9/6</t>
    <phoneticPr fontId="7"/>
  </si>
  <si>
    <t>久目形</t>
    <rPh sb="0" eb="3">
      <t>クメガタ</t>
    </rPh>
    <phoneticPr fontId="7"/>
  </si>
  <si>
    <t>SUBARU後席エアバッグ対応</t>
    <rPh sb="6" eb="8">
      <t>コウセキ</t>
    </rPh>
    <rPh sb="13" eb="15">
      <t>タイオウ</t>
    </rPh>
    <phoneticPr fontId="7"/>
  </si>
  <si>
    <t>24/9/11</t>
    <phoneticPr fontId="7"/>
  </si>
  <si>
    <t>TBN-24-013</t>
    <phoneticPr fontId="7"/>
  </si>
  <si>
    <t>'24/9/20</t>
    <phoneticPr fontId="7"/>
  </si>
  <si>
    <t>B747(695D)</t>
  </si>
  <si>
    <t>10月-11月</t>
    <rPh sb="6" eb="7">
      <t>ガツ</t>
    </rPh>
    <phoneticPr fontId="7"/>
  </si>
  <si>
    <t>'24/10/3</t>
    <phoneticPr fontId="7"/>
  </si>
  <si>
    <t>11月</t>
    <phoneticPr fontId="7"/>
  </si>
  <si>
    <t>11月</t>
    <rPh sb="2" eb="3">
      <t>ガツ</t>
    </rPh>
    <phoneticPr fontId="7"/>
  </si>
  <si>
    <t>'24/10/23</t>
    <phoneticPr fontId="7"/>
  </si>
  <si>
    <t>TBN-24-015</t>
    <phoneticPr fontId="7"/>
  </si>
  <si>
    <t>11月</t>
    <rPh sb="2" eb="3">
      <t>ガツ</t>
    </rPh>
    <phoneticPr fontId="7"/>
  </si>
  <si>
    <t>'24/11/1</t>
    <phoneticPr fontId="7"/>
  </si>
  <si>
    <t>650D 内装設計</t>
    <rPh sb="5" eb="7">
      <t>ナイソウ</t>
    </rPh>
    <rPh sb="7" eb="9">
      <t>セッケイ</t>
    </rPh>
    <phoneticPr fontId="7"/>
  </si>
  <si>
    <t>'24/11/12</t>
    <phoneticPr fontId="7"/>
  </si>
  <si>
    <t>12月</t>
    <rPh sb="2" eb="3">
      <t>ガツ</t>
    </rPh>
    <phoneticPr fontId="7"/>
  </si>
  <si>
    <t>'24/11/18</t>
    <phoneticPr fontId="7"/>
  </si>
  <si>
    <t>TBN-24-019</t>
    <phoneticPr fontId="7"/>
  </si>
  <si>
    <t>'24/11/26</t>
    <phoneticPr fontId="7"/>
  </si>
  <si>
    <t>'24/11/27</t>
    <phoneticPr fontId="7"/>
  </si>
  <si>
    <t>12月</t>
    <rPh sb="2" eb="3">
      <t>ガツ</t>
    </rPh>
    <phoneticPr fontId="7"/>
  </si>
  <si>
    <t>'24/11/29</t>
    <phoneticPr fontId="7"/>
  </si>
  <si>
    <t>'24/12/4</t>
    <phoneticPr fontId="7"/>
  </si>
  <si>
    <t>2025年</t>
    <rPh sb="4" eb="5">
      <t>ネン</t>
    </rPh>
    <phoneticPr fontId="7"/>
  </si>
  <si>
    <t>2024/12/24</t>
    <phoneticPr fontId="7"/>
  </si>
  <si>
    <t>16124001</t>
    <phoneticPr fontId="7"/>
  </si>
  <si>
    <t>技管部</t>
    <rPh sb="0" eb="2">
      <t>ギカン</t>
    </rPh>
    <rPh sb="2" eb="3">
      <t>ブ</t>
    </rPh>
    <phoneticPr fontId="7"/>
  </si>
  <si>
    <t>技術管理部</t>
    <rPh sb="0" eb="2">
      <t>ギジュツ</t>
    </rPh>
    <rPh sb="2" eb="5">
      <t>カンリブ</t>
    </rPh>
    <phoneticPr fontId="7"/>
  </si>
  <si>
    <t>単価改定</t>
    <rPh sb="0" eb="2">
      <t>タンカ</t>
    </rPh>
    <rPh sb="2" eb="4">
      <t>カイテイ</t>
    </rPh>
    <phoneticPr fontId="7"/>
  </si>
  <si>
    <t>TBN-24-021</t>
    <phoneticPr fontId="7"/>
  </si>
  <si>
    <t>2025/1/9</t>
    <phoneticPr fontId="7"/>
  </si>
  <si>
    <t>デザイン部</t>
    <rPh sb="4" eb="5">
      <t>ブ</t>
    </rPh>
    <phoneticPr fontId="7"/>
  </si>
  <si>
    <t>16125001</t>
    <phoneticPr fontId="7"/>
  </si>
  <si>
    <t>デザインデータ</t>
    <phoneticPr fontId="7"/>
  </si>
  <si>
    <t>スケッチ</t>
    <phoneticPr fontId="7"/>
  </si>
  <si>
    <t>ブレンダ</t>
    <phoneticPr fontId="7"/>
  </si>
  <si>
    <t>TBN-24-023</t>
    <phoneticPr fontId="7"/>
  </si>
  <si>
    <t>2025/1/22</t>
    <phoneticPr fontId="7"/>
  </si>
  <si>
    <t>202/2/29</t>
    <phoneticPr fontId="7"/>
  </si>
  <si>
    <t>QF02</t>
    <phoneticPr fontId="7"/>
  </si>
  <si>
    <t>-</t>
    <phoneticPr fontId="7"/>
  </si>
  <si>
    <t>品質監査業務支援（内外装）</t>
    <rPh sb="9" eb="12">
      <t>ナイガイソウ</t>
    </rPh>
    <phoneticPr fontId="7"/>
  </si>
  <si>
    <t>TBN-24-025</t>
    <phoneticPr fontId="7"/>
  </si>
  <si>
    <t>2025/2/18</t>
    <phoneticPr fontId="7"/>
  </si>
  <si>
    <t>2025/1/29</t>
    <phoneticPr fontId="7"/>
  </si>
  <si>
    <t>2025/2/19</t>
    <phoneticPr fontId="7"/>
  </si>
  <si>
    <t>2025/2/26</t>
    <phoneticPr fontId="7"/>
  </si>
  <si>
    <t>空間ビジョニアリング部</t>
    <rPh sb="0" eb="2">
      <t>クウカン</t>
    </rPh>
    <rPh sb="10" eb="11">
      <t>ブ</t>
    </rPh>
    <phoneticPr fontId="7"/>
  </si>
  <si>
    <t>空間ビジョニアリング部</t>
    <phoneticPr fontId="7"/>
  </si>
  <si>
    <t>POD　図面作成</t>
    <rPh sb="4" eb="8">
      <t>ズメンサクセイ</t>
    </rPh>
    <phoneticPr fontId="7"/>
  </si>
  <si>
    <t>３月</t>
    <phoneticPr fontId="7"/>
  </si>
  <si>
    <t>TBN-24-028</t>
    <phoneticPr fontId="7"/>
  </si>
  <si>
    <t>2025/3/25</t>
    <phoneticPr fontId="7"/>
  </si>
  <si>
    <t>内外装トリム設計部第３トリム設計室</t>
    <phoneticPr fontId="7"/>
  </si>
  <si>
    <t>内外装トリム設計部</t>
    <phoneticPr fontId="7"/>
  </si>
  <si>
    <t>QTRトリム設計</t>
    <rPh sb="6" eb="8">
      <t>セッケイ</t>
    </rPh>
    <phoneticPr fontId="7"/>
  </si>
  <si>
    <t>丸山</t>
    <rPh sb="0" eb="2">
      <t>マルヤマ</t>
    </rPh>
    <phoneticPr fontId="7"/>
  </si>
  <si>
    <t>ITK15582</t>
    <phoneticPr fontId="7"/>
  </si>
  <si>
    <t>ITK15586</t>
    <phoneticPr fontId="7"/>
  </si>
  <si>
    <t>ITK15495</t>
    <phoneticPr fontId="7"/>
  </si>
  <si>
    <t>4月</t>
    <rPh sb="1" eb="2">
      <t>ガツ</t>
    </rPh>
    <phoneticPr fontId="7"/>
  </si>
  <si>
    <t>丸山</t>
    <rPh sb="0" eb="2">
      <t>マルヤマ</t>
    </rPh>
    <phoneticPr fontId="7"/>
  </si>
  <si>
    <t>ITK15502</t>
    <phoneticPr fontId="7"/>
  </si>
  <si>
    <t>ITK15645</t>
    <phoneticPr fontId="7"/>
  </si>
  <si>
    <t>ITK15570</t>
    <phoneticPr fontId="7"/>
  </si>
  <si>
    <t>4月</t>
    <rPh sb="1" eb="2">
      <t>ガツ</t>
    </rPh>
    <phoneticPr fontId="7"/>
  </si>
  <si>
    <t>丸山</t>
    <rPh sb="0" eb="2">
      <t>マルヤマ</t>
    </rPh>
    <phoneticPr fontId="7"/>
  </si>
  <si>
    <t>ITK15563</t>
    <phoneticPr fontId="7"/>
  </si>
  <si>
    <t>B780新プレステージ開発</t>
    <rPh sb="4" eb="5">
      <t>シン</t>
    </rPh>
    <rPh sb="11" eb="13">
      <t>カイハツ</t>
    </rPh>
    <phoneticPr fontId="7"/>
  </si>
  <si>
    <t>X1TE新プレステージ開発</t>
    <rPh sb="4" eb="5">
      <t>シン</t>
    </rPh>
    <rPh sb="11" eb="13">
      <t>カイハツ</t>
    </rPh>
    <phoneticPr fontId="7"/>
  </si>
  <si>
    <t>ITK15562</t>
    <phoneticPr fontId="7"/>
  </si>
  <si>
    <t>900D受注活動</t>
    <rPh sb="4" eb="8">
      <t>ジュチュウカツドウ</t>
    </rPh>
    <phoneticPr fontId="7"/>
  </si>
  <si>
    <t>ITK15560</t>
    <phoneticPr fontId="7"/>
  </si>
  <si>
    <t>ITK15535</t>
    <phoneticPr fontId="7"/>
  </si>
  <si>
    <t>749D(B781)</t>
    <phoneticPr fontId="7"/>
  </si>
  <si>
    <t>ITK15483</t>
    <phoneticPr fontId="7"/>
  </si>
  <si>
    <t>32AT TB3</t>
    <phoneticPr fontId="7"/>
  </si>
  <si>
    <t>ITK15441</t>
    <phoneticPr fontId="7"/>
  </si>
  <si>
    <t>Frシート骨格設計部骨格開発室</t>
    <rPh sb="10" eb="12">
      <t>コッカク</t>
    </rPh>
    <rPh sb="12" eb="15">
      <t>カイハツシツ</t>
    </rPh>
    <phoneticPr fontId="7"/>
  </si>
  <si>
    <t>ITK15426</t>
    <phoneticPr fontId="7"/>
  </si>
  <si>
    <t>低ハイト薄型クッションフレーム</t>
    <rPh sb="0" eb="1">
      <t>テイ</t>
    </rPh>
    <rPh sb="4" eb="6">
      <t>ウスガタ</t>
    </rPh>
    <phoneticPr fontId="7"/>
  </si>
  <si>
    <t>ITK15631</t>
    <phoneticPr fontId="7"/>
  </si>
  <si>
    <t>4月</t>
    <phoneticPr fontId="7"/>
  </si>
  <si>
    <t>ITK15630</t>
    <phoneticPr fontId="7"/>
  </si>
  <si>
    <t>ITK15658</t>
    <phoneticPr fontId="7"/>
  </si>
  <si>
    <t>ITK15657</t>
    <phoneticPr fontId="7"/>
  </si>
  <si>
    <t>D92A号口管理</t>
    <rPh sb="4" eb="8">
      <t>ゴウグチカンリ</t>
    </rPh>
    <phoneticPr fontId="7"/>
  </si>
  <si>
    <t>ITK15656</t>
    <phoneticPr fontId="7"/>
  </si>
  <si>
    <t>ITK15690</t>
    <phoneticPr fontId="7"/>
  </si>
  <si>
    <t>ITK15653</t>
    <phoneticPr fontId="7"/>
  </si>
  <si>
    <t>440Ｄ</t>
    <phoneticPr fontId="7"/>
  </si>
  <si>
    <t>4月</t>
    <rPh sb="1" eb="2">
      <t>ガツ</t>
    </rPh>
    <phoneticPr fontId="7"/>
  </si>
  <si>
    <t>丸山</t>
    <rPh sb="0" eb="2">
      <t>マルヤマ</t>
    </rPh>
    <phoneticPr fontId="7"/>
  </si>
  <si>
    <t>ITK15700</t>
    <phoneticPr fontId="7"/>
  </si>
  <si>
    <t>５月</t>
    <rPh sb="1" eb="2">
      <t>ガツ</t>
    </rPh>
    <phoneticPr fontId="7"/>
  </si>
  <si>
    <t>5月</t>
    <phoneticPr fontId="7"/>
  </si>
  <si>
    <t>丸山</t>
    <rPh sb="0" eb="2">
      <t>マルヤマ</t>
    </rPh>
    <phoneticPr fontId="7"/>
  </si>
  <si>
    <t>金額変更にて再発行</t>
    <rPh sb="0" eb="2">
      <t>キンガク</t>
    </rPh>
    <rPh sb="2" eb="4">
      <t>ヘンコウ</t>
    </rPh>
    <rPh sb="6" eb="9">
      <t>サイハッコウ</t>
    </rPh>
    <phoneticPr fontId="7"/>
  </si>
  <si>
    <t>TBN-25-003</t>
    <phoneticPr fontId="7"/>
  </si>
  <si>
    <t>丸山</t>
    <rPh sb="0" eb="2">
      <t>マルヤマ</t>
    </rPh>
    <phoneticPr fontId="7"/>
  </si>
  <si>
    <t>5月</t>
    <rPh sb="1" eb="2">
      <t>ガツ</t>
    </rPh>
    <phoneticPr fontId="7"/>
  </si>
  <si>
    <t>丸山</t>
    <rPh sb="0" eb="2">
      <t>マルヤマ</t>
    </rPh>
    <phoneticPr fontId="7"/>
  </si>
  <si>
    <t>内外装トリム設計部標準化推進室</t>
    <rPh sb="9" eb="12">
      <t>ヒョウジュンカ</t>
    </rPh>
    <rPh sb="12" eb="14">
      <t>スイシン</t>
    </rPh>
    <phoneticPr fontId="7"/>
  </si>
  <si>
    <t>ITK15879</t>
    <phoneticPr fontId="7"/>
  </si>
  <si>
    <t>5月</t>
    <rPh sb="1" eb="2">
      <t>ガツ</t>
    </rPh>
    <phoneticPr fontId="7"/>
  </si>
  <si>
    <t>ITK15789</t>
    <phoneticPr fontId="7"/>
  </si>
  <si>
    <t>ITK15788</t>
    <phoneticPr fontId="7"/>
  </si>
  <si>
    <t>ITK15787</t>
    <phoneticPr fontId="7"/>
  </si>
  <si>
    <t>ITK15786</t>
    <phoneticPr fontId="7"/>
  </si>
  <si>
    <t>ITK15784</t>
    <phoneticPr fontId="7"/>
  </si>
  <si>
    <t>ITK15723</t>
    <phoneticPr fontId="7"/>
  </si>
  <si>
    <t>5月</t>
    <rPh sb="1" eb="2">
      <t>ガツ</t>
    </rPh>
    <phoneticPr fontId="7"/>
  </si>
  <si>
    <t>ITK15874</t>
    <phoneticPr fontId="7"/>
  </si>
  <si>
    <t>5月</t>
    <phoneticPr fontId="7"/>
  </si>
  <si>
    <t>ITK15873</t>
    <phoneticPr fontId="7"/>
  </si>
  <si>
    <t>ITK15846</t>
    <phoneticPr fontId="7"/>
  </si>
  <si>
    <t>ITK15798</t>
    <phoneticPr fontId="7"/>
  </si>
  <si>
    <t>ITK15790</t>
    <phoneticPr fontId="7"/>
  </si>
  <si>
    <t>ITK15732</t>
    <phoneticPr fontId="7"/>
  </si>
  <si>
    <t>ITK15822</t>
    <phoneticPr fontId="7"/>
  </si>
  <si>
    <t>ITK15823</t>
    <phoneticPr fontId="7"/>
  </si>
  <si>
    <t>X1TE新プレステージ開発</t>
    <phoneticPr fontId="7"/>
  </si>
  <si>
    <t>ITK15821</t>
    <phoneticPr fontId="7"/>
  </si>
  <si>
    <t>B780新プレステージ開発</t>
    <phoneticPr fontId="7"/>
  </si>
  <si>
    <t>6月</t>
    <rPh sb="1" eb="2">
      <t>ガツ</t>
    </rPh>
    <phoneticPr fontId="7"/>
  </si>
  <si>
    <t>丸山</t>
    <rPh sb="0" eb="2">
      <t>マルヤマ</t>
    </rPh>
    <phoneticPr fontId="7"/>
  </si>
  <si>
    <t>’25/5/13</t>
    <phoneticPr fontId="7"/>
  </si>
  <si>
    <t>6月</t>
    <phoneticPr fontId="7"/>
  </si>
  <si>
    <t>ITK16141</t>
    <phoneticPr fontId="7"/>
  </si>
  <si>
    <t>ITK16004</t>
    <phoneticPr fontId="7"/>
  </si>
  <si>
    <t>6月</t>
    <rPh sb="1" eb="2">
      <t>ガツ</t>
    </rPh>
    <phoneticPr fontId="7"/>
  </si>
  <si>
    <t>TBN-25-005</t>
    <phoneticPr fontId="7"/>
  </si>
  <si>
    <t>6月</t>
    <phoneticPr fontId="7"/>
  </si>
  <si>
    <t>6月</t>
    <rPh sb="1" eb="2">
      <t>ガツ</t>
    </rPh>
    <phoneticPr fontId="7"/>
  </si>
  <si>
    <t>6月</t>
    <phoneticPr fontId="7"/>
  </si>
  <si>
    <t>450D 内装設計</t>
    <phoneticPr fontId="7"/>
  </si>
  <si>
    <t>6月</t>
    <rPh sb="1" eb="2">
      <t>ガツ</t>
    </rPh>
    <phoneticPr fontId="7"/>
  </si>
  <si>
    <t>6月</t>
    <phoneticPr fontId="7"/>
  </si>
  <si>
    <t>’25/6/9</t>
    <phoneticPr fontId="7"/>
  </si>
  <si>
    <t>’25/6/10</t>
    <phoneticPr fontId="7"/>
  </si>
  <si>
    <t>TBN-25-008</t>
    <phoneticPr fontId="7"/>
  </si>
  <si>
    <t>7月</t>
    <phoneticPr fontId="7"/>
  </si>
  <si>
    <t>内外装トリム設計部第2トリム設計室</t>
    <phoneticPr fontId="7"/>
  </si>
  <si>
    <t>070D 開発PJT</t>
    <rPh sb="5" eb="7">
      <t>カイハツ</t>
    </rPh>
    <phoneticPr fontId="7"/>
  </si>
  <si>
    <t>’25/7/4</t>
    <phoneticPr fontId="7"/>
  </si>
  <si>
    <t>630D　Fr骨格開発</t>
    <rPh sb="7" eb="9">
      <t>コッカク</t>
    </rPh>
    <rPh sb="9" eb="11">
      <t>カイハツ</t>
    </rPh>
    <phoneticPr fontId="7"/>
  </si>
  <si>
    <t>TBN-25-011</t>
    <phoneticPr fontId="7"/>
  </si>
  <si>
    <t>TBN-25-013</t>
    <phoneticPr fontId="7"/>
  </si>
  <si>
    <t>’25/7/21</t>
    <phoneticPr fontId="7"/>
  </si>
  <si>
    <t>シート計画部　SAT推進室　２G</t>
    <rPh sb="3" eb="6">
      <t>ケイカクブ</t>
    </rPh>
    <rPh sb="10" eb="13">
      <t>スイシンシツ</t>
    </rPh>
    <phoneticPr fontId="7"/>
  </si>
  <si>
    <t>シート計画部　SAT推進室</t>
  </si>
  <si>
    <t>737D Rr2シートフレーム開発</t>
    <rPh sb="15" eb="17">
      <t>カイハツ</t>
    </rPh>
    <phoneticPr fontId="7"/>
  </si>
  <si>
    <t>内外装トリム設計部第1トリム設計室</t>
    <phoneticPr fontId="7"/>
  </si>
  <si>
    <t>740D 内装設計</t>
    <rPh sb="5" eb="7">
      <t>ナイソウ</t>
    </rPh>
    <rPh sb="7" eb="9">
      <t>セッケイ</t>
    </rPh>
    <phoneticPr fontId="7"/>
  </si>
  <si>
    <t>8月</t>
    <rPh sb="1" eb="2">
      <t>ガツ</t>
    </rPh>
    <phoneticPr fontId="7"/>
  </si>
  <si>
    <t>久目形</t>
    <rPh sb="0" eb="3">
      <t>クメガタ</t>
    </rPh>
    <phoneticPr fontId="7"/>
  </si>
  <si>
    <t>コンセプトデザインモデル開発</t>
    <rPh sb="12" eb="14">
      <t>カイハツ</t>
    </rPh>
    <phoneticPr fontId="7"/>
  </si>
  <si>
    <t>Phase1</t>
    <phoneticPr fontId="7"/>
  </si>
  <si>
    <t>Phase2</t>
    <phoneticPr fontId="7"/>
  </si>
  <si>
    <t>Phase3</t>
    <phoneticPr fontId="7"/>
  </si>
  <si>
    <t>Phase4</t>
    <phoneticPr fontId="7"/>
  </si>
  <si>
    <t>9月</t>
    <rPh sb="1" eb="2">
      <t>ガツ</t>
    </rPh>
    <phoneticPr fontId="7"/>
  </si>
  <si>
    <t>’25/8/6</t>
    <phoneticPr fontId="7"/>
  </si>
  <si>
    <t>25/8/6</t>
    <phoneticPr fontId="7"/>
  </si>
  <si>
    <t>25/8/18</t>
    <phoneticPr fontId="7"/>
  </si>
  <si>
    <t>TBN-25-015</t>
    <phoneticPr fontId="7"/>
  </si>
  <si>
    <t>TBN-25-016</t>
    <phoneticPr fontId="7"/>
  </si>
  <si>
    <t>900D</t>
    <phoneticPr fontId="7"/>
  </si>
  <si>
    <t>TB3</t>
    <phoneticPr fontId="7"/>
  </si>
  <si>
    <t>客先発注ミスにより再見積もり</t>
    <rPh sb="0" eb="2">
      <t>キャクサキ</t>
    </rPh>
    <rPh sb="2" eb="4">
      <t>ハッチュウ</t>
    </rPh>
    <rPh sb="9" eb="12">
      <t>サイミツ</t>
    </rPh>
    <phoneticPr fontId="7"/>
  </si>
  <si>
    <t>10月</t>
    <rPh sb="2" eb="3">
      <t>ガツ</t>
    </rPh>
    <phoneticPr fontId="7"/>
  </si>
  <si>
    <t>’25/9/8</t>
    <phoneticPr fontId="7"/>
  </si>
  <si>
    <t>-</t>
    <phoneticPr fontId="7"/>
  </si>
  <si>
    <t>設計品質改善会運営サポート</t>
    <rPh sb="7" eb="9">
      <t>ウンエイ</t>
    </rPh>
    <phoneticPr fontId="7"/>
  </si>
  <si>
    <t>設計品質改善会⇒設計品質改善会運営サポートに名前変更</t>
    <rPh sb="22" eb="24">
      <t>ナマエ</t>
    </rPh>
    <rPh sb="24" eb="26">
      <t>ヘンコウ</t>
    </rPh>
    <phoneticPr fontId="7"/>
  </si>
  <si>
    <t>440D</t>
    <phoneticPr fontId="7"/>
  </si>
  <si>
    <t>TBN-25-018</t>
    <phoneticPr fontId="7"/>
  </si>
  <si>
    <t>内外装トリム設計部第１トリム設計室</t>
    <phoneticPr fontId="7"/>
  </si>
  <si>
    <t>サイドバックロックタイプ　XN02</t>
    <phoneticPr fontId="7"/>
  </si>
  <si>
    <t>11月</t>
    <rPh sb="2" eb="3">
      <t>ガツ</t>
    </rPh>
    <phoneticPr fontId="7"/>
  </si>
  <si>
    <t>’25/10/6</t>
    <phoneticPr fontId="7"/>
  </si>
  <si>
    <t>11月</t>
    <phoneticPr fontId="7"/>
  </si>
  <si>
    <t>’25/10/13</t>
    <phoneticPr fontId="7"/>
  </si>
  <si>
    <t>無償修理低減解析</t>
    <phoneticPr fontId="7"/>
  </si>
  <si>
    <t>800D</t>
    <phoneticPr fontId="7"/>
  </si>
  <si>
    <t>no.3の業務名変更</t>
    <rPh sb="5" eb="10">
      <t>ギョウムメイヘンコウ</t>
    </rPh>
    <phoneticPr fontId="7"/>
  </si>
  <si>
    <t>※成果物増加により委託金額修正</t>
    <rPh sb="1" eb="4">
      <t>セイカブツ</t>
    </rPh>
    <rPh sb="4" eb="6">
      <t>ゾウカ</t>
    </rPh>
    <rPh sb="9" eb="15">
      <t>イタクキンガクシュウセイ</t>
    </rPh>
    <phoneticPr fontId="7"/>
  </si>
  <si>
    <t>客先ミス：廃止（元々受注はなかった）</t>
    <rPh sb="0" eb="2">
      <t>キャクサキ</t>
    </rPh>
    <rPh sb="5" eb="7">
      <t>ハイシ</t>
    </rPh>
    <rPh sb="8" eb="10">
      <t>モトモト</t>
    </rPh>
    <rPh sb="10" eb="12">
      <t>ジュチュウ</t>
    </rPh>
    <phoneticPr fontId="7"/>
  </si>
  <si>
    <t>11月</t>
    <phoneticPr fontId="7"/>
  </si>
  <si>
    <t>TBN-25-021</t>
    <phoneticPr fontId="7"/>
  </si>
  <si>
    <t>11月</t>
    <rPh sb="2" eb="3">
      <t>ガツ</t>
    </rPh>
    <phoneticPr fontId="7"/>
  </si>
  <si>
    <t>10月</t>
    <rPh sb="2" eb="3">
      <t>ガツ</t>
    </rPh>
    <phoneticPr fontId="7"/>
  </si>
  <si>
    <t>25/10/23</t>
    <phoneticPr fontId="7"/>
  </si>
  <si>
    <t>齊藤</t>
    <rPh sb="0" eb="2">
      <t>サイトウ</t>
    </rPh>
    <phoneticPr fontId="7"/>
  </si>
  <si>
    <t>Phase2</t>
  </si>
  <si>
    <t>Phase3</t>
  </si>
  <si>
    <t>Phase4</t>
  </si>
  <si>
    <t>Phase5</t>
  </si>
  <si>
    <t>集約版</t>
    <rPh sb="0" eb="2">
      <t>シュウヤク</t>
    </rPh>
    <rPh sb="2" eb="3">
      <t>バン</t>
    </rPh>
    <phoneticPr fontId="7"/>
  </si>
  <si>
    <t>コンセプトデザインモデル開発_金額見直し</t>
    <rPh sb="12" eb="14">
      <t>カイハツ</t>
    </rPh>
    <rPh sb="15" eb="17">
      <t>キンガク</t>
    </rPh>
    <rPh sb="17" eb="19">
      <t>ミナオ</t>
    </rPh>
    <phoneticPr fontId="7"/>
  </si>
  <si>
    <t>12月</t>
    <rPh sb="2" eb="3">
      <t>ガツ</t>
    </rPh>
    <phoneticPr fontId="7"/>
  </si>
  <si>
    <t>’25/11/10</t>
    <phoneticPr fontId="7"/>
  </si>
  <si>
    <t>TBN-25-024</t>
    <phoneticPr fontId="7"/>
  </si>
  <si>
    <t>12月</t>
    <rPh sb="2" eb="3">
      <t>ガツ</t>
    </rPh>
    <phoneticPr fontId="7"/>
  </si>
  <si>
    <t>’25/11/14</t>
    <phoneticPr fontId="7"/>
  </si>
  <si>
    <t>TBN-25-0</t>
    <phoneticPr fontId="7"/>
  </si>
  <si>
    <t>１月</t>
    <rPh sb="1" eb="2">
      <t>ガツ</t>
    </rPh>
    <phoneticPr fontId="7"/>
  </si>
  <si>
    <t>890D　900D受注活動</t>
    <rPh sb="9" eb="13">
      <t>ジュチュウカツドウ</t>
    </rPh>
    <phoneticPr fontId="7"/>
  </si>
  <si>
    <t>名称変更　元（900D受注活動）</t>
    <rPh sb="0" eb="4">
      <t>メイショウヘンコウ</t>
    </rPh>
    <rPh sb="5" eb="6">
      <t>モト</t>
    </rPh>
    <rPh sb="11" eb="13">
      <t>ジュチュウ</t>
    </rPh>
    <rPh sb="13" eb="15">
      <t>カツドウ</t>
    </rPh>
    <phoneticPr fontId="7"/>
  </si>
  <si>
    <t>B-SUV 2列　BR</t>
    <rPh sb="7" eb="8">
      <t>レツ</t>
    </rPh>
    <phoneticPr fontId="7"/>
  </si>
  <si>
    <t>名称変更（D90B）</t>
    <rPh sb="0" eb="2">
      <t>メイショウ</t>
    </rPh>
    <rPh sb="2" eb="4">
      <t>ヘンコウ</t>
    </rPh>
    <phoneticPr fontId="7"/>
  </si>
  <si>
    <t>890D　内装設計業務</t>
    <rPh sb="5" eb="7">
      <t>ナイソウ</t>
    </rPh>
    <rPh sb="7" eb="9">
      <t>セッケイ</t>
    </rPh>
    <rPh sb="9" eb="11">
      <t>ギョウム</t>
    </rPh>
    <phoneticPr fontId="7"/>
  </si>
  <si>
    <t>1-2月</t>
    <rPh sb="3" eb="4">
      <t>ガツ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</si>
</sst>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¥&quot;#,##0;&quot;¥&quot;\-#,##0"/>
    <numFmt numFmtId="176" formatCode="\'yy/m/d"/>
    <numFmt numFmtId="177" formatCode="m/d;@"/>
    <numFmt numFmtId="178" formatCode="#,#00"/>
    <numFmt numFmtId="179" formatCode="yy/m/d"/>
    <numFmt numFmtId="180" formatCode="yyyy/m/d\ &quot;更新&quot;"/>
    <numFmt numFmtId="181" formatCode="&quot;ITK&quot;00000"/>
    <numFmt numFmtId="182" formatCode="0&quot;件&quot;"/>
    <numFmt numFmtId="183" formatCode="\I\T\K00000"/>
  </numFmts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6"/>
      <name val="Yu Gothic"/>
      <family val="2"/>
      <charset val="128"/>
      <scheme val="minor"/>
    </font>
    <font>
      <sz val="12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color indexed="81"/>
      <name val="MS P ゴシック"/>
      <family val="3"/>
      <charset val="128"/>
    </font>
    <font>
      <sz val="10"/>
      <color rgb="FF000000"/>
      <name val="Meiryo UI"/>
      <family val="3"/>
      <charset val="128"/>
    </font>
    <font>
      <b/>
      <sz val="9"/>
      <color indexed="81"/>
      <name val="MS P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38" fontId="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/>
    <xf numFmtId="176" fontId="8" fillId="0" borderId="1" xfId="0" applyNumberFormat="1" applyFont="1" applyBorder="1" applyAlignment="1">
      <alignment horizontal="center" vertical="center" shrinkToFit="1"/>
    </xf>
    <xf numFmtId="176" fontId="8" fillId="0" borderId="1" xfId="0" applyNumberFormat="1" applyFont="1" applyBorder="1" applyAlignment="1">
      <alignment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shrinkToFit="1"/>
    </xf>
    <xf numFmtId="0" fontId="8" fillId="0" borderId="0" xfId="0" applyFont="1" applyAlignment="1">
      <alignment vertical="center" shrinkToFit="1"/>
    </xf>
    <xf numFmtId="177" fontId="8" fillId="0" borderId="1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shrinkToFit="1"/>
    </xf>
    <xf numFmtId="38" fontId="8" fillId="0" borderId="0" xfId="1" applyFont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176" fontId="8" fillId="0" borderId="0" xfId="0" applyNumberFormat="1" applyFont="1" applyAlignment="1">
      <alignment vertical="center" shrinkToFit="1"/>
    </xf>
    <xf numFmtId="0" fontId="8" fillId="0" borderId="1" xfId="0" quotePrefix="1" applyFont="1" applyBorder="1" applyAlignment="1">
      <alignment horizontal="center" vertical="center" shrinkToFit="1"/>
    </xf>
    <xf numFmtId="0" fontId="8" fillId="6" borderId="3" xfId="0" applyFont="1" applyFill="1" applyBorder="1" applyAlignment="1">
      <alignment horizontal="center" vertical="center" shrinkToFit="1"/>
    </xf>
    <xf numFmtId="0" fontId="8" fillId="6" borderId="6" xfId="0" applyFont="1" applyFill="1" applyBorder="1" applyAlignment="1">
      <alignment horizontal="center" vertical="center" shrinkToFit="1"/>
    </xf>
    <xf numFmtId="0" fontId="8" fillId="4" borderId="3" xfId="0" applyFont="1" applyFill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9" xfId="0" applyFont="1" applyFill="1" applyBorder="1" applyAlignment="1">
      <alignment horizontal="center" vertical="center" shrinkToFit="1"/>
    </xf>
    <xf numFmtId="38" fontId="8" fillId="3" borderId="9" xfId="1" applyFont="1" applyFill="1" applyBorder="1" applyAlignment="1">
      <alignment horizontal="center" vertical="center" shrinkToFit="1"/>
    </xf>
    <xf numFmtId="0" fontId="8" fillId="3" borderId="9" xfId="0" applyFont="1" applyFill="1" applyBorder="1" applyAlignment="1">
      <alignment horizontal="center" vertical="center" shrinkToFit="1"/>
    </xf>
    <xf numFmtId="0" fontId="8" fillId="4" borderId="9" xfId="0" applyFont="1" applyFill="1" applyBorder="1" applyAlignment="1">
      <alignment horizontal="center" vertical="center" shrinkToFit="1"/>
    </xf>
    <xf numFmtId="38" fontId="8" fillId="4" borderId="9" xfId="1" applyFont="1" applyFill="1" applyBorder="1" applyAlignment="1">
      <alignment horizontal="center" vertical="center" shrinkToFit="1"/>
    </xf>
    <xf numFmtId="176" fontId="8" fillId="4" borderId="9" xfId="0" applyNumberFormat="1" applyFont="1" applyFill="1" applyBorder="1" applyAlignment="1">
      <alignment horizontal="center" vertical="center" shrinkToFit="1"/>
    </xf>
    <xf numFmtId="0" fontId="8" fillId="6" borderId="9" xfId="0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center" vertical="center" shrinkToFit="1"/>
    </xf>
    <xf numFmtId="0" fontId="8" fillId="7" borderId="1" xfId="0" applyFont="1" applyFill="1" applyBorder="1" applyAlignment="1">
      <alignment horizontal="center" vertical="center" shrinkToFit="1"/>
    </xf>
    <xf numFmtId="0" fontId="8" fillId="5" borderId="11" xfId="0" applyFont="1" applyFill="1" applyBorder="1" applyAlignment="1">
      <alignment horizontal="center" vertical="center" shrinkToFit="1"/>
    </xf>
    <xf numFmtId="0" fontId="8" fillId="5" borderId="11" xfId="0" applyFont="1" applyFill="1" applyBorder="1" applyAlignment="1">
      <alignment horizontal="center" vertical="center"/>
    </xf>
    <xf numFmtId="176" fontId="8" fillId="6" borderId="9" xfId="0" applyNumberFormat="1" applyFont="1" applyFill="1" applyBorder="1" applyAlignment="1">
      <alignment horizontal="center" vertical="center" shrinkToFit="1"/>
    </xf>
    <xf numFmtId="176" fontId="8" fillId="2" borderId="9" xfId="0" applyNumberFormat="1" applyFont="1" applyFill="1" applyBorder="1" applyAlignment="1">
      <alignment horizontal="center" vertical="center" shrinkToFit="1"/>
    </xf>
    <xf numFmtId="176" fontId="8" fillId="5" borderId="1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 shrinkToFit="1"/>
    </xf>
    <xf numFmtId="0" fontId="13" fillId="0" borderId="0" xfId="0" applyFont="1" applyAlignment="1">
      <alignment vertical="center"/>
    </xf>
    <xf numFmtId="14" fontId="11" fillId="0" borderId="0" xfId="0" applyNumberFormat="1" applyFont="1" applyAlignment="1">
      <alignment vertical="center" shrinkToFit="1"/>
    </xf>
    <xf numFmtId="0" fontId="8" fillId="0" borderId="7" xfId="0" applyFont="1" applyBorder="1" applyAlignment="1">
      <alignment horizontal="center" vertical="center"/>
    </xf>
    <xf numFmtId="38" fontId="8" fillId="2" borderId="10" xfId="1" applyFont="1" applyFill="1" applyBorder="1" applyAlignment="1">
      <alignment horizontal="center" vertical="center" shrinkToFit="1"/>
    </xf>
    <xf numFmtId="176" fontId="8" fillId="0" borderId="0" xfId="0" applyNumberFormat="1" applyFont="1" applyAlignment="1">
      <alignment horizontal="center" vertical="center" shrinkToFit="1"/>
    </xf>
    <xf numFmtId="14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4" fontId="11" fillId="0" borderId="0" xfId="0" applyNumberFormat="1" applyFont="1" applyAlignment="1">
      <alignment horizontal="center" vertical="center" shrinkToFit="1"/>
    </xf>
    <xf numFmtId="0" fontId="8" fillId="5" borderId="1" xfId="0" applyFont="1" applyFill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 shrinkToFit="1"/>
    </xf>
    <xf numFmtId="0" fontId="10" fillId="0" borderId="1" xfId="0" quotePrefix="1" applyFont="1" applyBorder="1" applyAlignment="1">
      <alignment horizontal="center" vertical="center" shrinkToFit="1"/>
    </xf>
    <xf numFmtId="0" fontId="11" fillId="0" borderId="1" xfId="0" quotePrefix="1" applyFont="1" applyBorder="1" applyAlignment="1">
      <alignment horizontal="center" vertical="center" shrinkToFit="1"/>
    </xf>
    <xf numFmtId="38" fontId="8" fillId="2" borderId="5" xfId="1" applyFont="1" applyFill="1" applyBorder="1" applyAlignment="1">
      <alignment vertical="center" shrinkToFit="1"/>
    </xf>
    <xf numFmtId="0" fontId="8" fillId="2" borderId="12" xfId="0" applyFont="1" applyFill="1" applyBorder="1" applyAlignment="1">
      <alignment horizontal="center" vertical="center" shrinkToFit="1"/>
    </xf>
    <xf numFmtId="181" fontId="8" fillId="0" borderId="1" xfId="0" applyNumberFormat="1" applyFont="1" applyBorder="1" applyAlignment="1">
      <alignment vertical="center" shrinkToFit="1"/>
    </xf>
    <xf numFmtId="181" fontId="8" fillId="0" borderId="0" xfId="0" applyNumberFormat="1" applyFont="1" applyAlignment="1">
      <alignment vertical="center" shrinkToFit="1"/>
    </xf>
    <xf numFmtId="181" fontId="8" fillId="5" borderId="9" xfId="0" applyNumberFormat="1" applyFont="1" applyFill="1" applyBorder="1" applyAlignment="1">
      <alignment horizontal="center" vertical="center" shrinkToFit="1"/>
    </xf>
    <xf numFmtId="181" fontId="8" fillId="0" borderId="0" xfId="0" applyNumberFormat="1" applyFont="1" applyAlignment="1">
      <alignment horizontal="center" vertical="center" shrinkToFit="1"/>
    </xf>
    <xf numFmtId="181" fontId="8" fillId="0" borderId="1" xfId="0" applyNumberFormat="1" applyFont="1" applyBorder="1" applyAlignment="1">
      <alignment horizontal="center" vertical="center" shrinkToFit="1"/>
    </xf>
    <xf numFmtId="0" fontId="13" fillId="0" borderId="0" xfId="9" applyFont="1">
      <alignment vertical="center"/>
    </xf>
    <xf numFmtId="0" fontId="8" fillId="0" borderId="0" xfId="9" applyFont="1">
      <alignment vertical="center"/>
    </xf>
    <xf numFmtId="0" fontId="8" fillId="0" borderId="0" xfId="9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49" fontId="8" fillId="0" borderId="0" xfId="9" applyNumberFormat="1" applyFont="1" applyAlignment="1">
      <alignment horizontal="center" vertical="center"/>
    </xf>
    <xf numFmtId="180" fontId="10" fillId="0" borderId="0" xfId="9" applyNumberFormat="1" applyFont="1">
      <alignment vertical="center"/>
    </xf>
    <xf numFmtId="0" fontId="8" fillId="0" borderId="1" xfId="9" applyFont="1" applyBorder="1">
      <alignment vertical="center"/>
    </xf>
    <xf numFmtId="0" fontId="8" fillId="0" borderId="1" xfId="9" applyFont="1" applyBorder="1" applyAlignment="1">
      <alignment horizontal="center" vertical="center"/>
    </xf>
    <xf numFmtId="0" fontId="8" fillId="0" borderId="11" xfId="9" applyFont="1" applyBorder="1" applyAlignment="1">
      <alignment horizontal="center" vertical="center"/>
    </xf>
    <xf numFmtId="49" fontId="8" fillId="0" borderId="11" xfId="9" applyNumberFormat="1" applyFont="1" applyBorder="1" applyAlignment="1">
      <alignment horizontal="center" vertical="center"/>
    </xf>
    <xf numFmtId="0" fontId="8" fillId="0" borderId="7" xfId="9" applyFont="1" applyBorder="1">
      <alignment vertical="center"/>
    </xf>
    <xf numFmtId="49" fontId="8" fillId="0" borderId="7" xfId="9" applyNumberFormat="1" applyFont="1" applyBorder="1" applyAlignment="1">
      <alignment horizontal="center" vertical="center"/>
    </xf>
    <xf numFmtId="0" fontId="8" fillId="0" borderId="7" xfId="9" applyFont="1" applyBorder="1" applyAlignment="1">
      <alignment horizontal="center" vertical="center"/>
    </xf>
    <xf numFmtId="0" fontId="8" fillId="0" borderId="1" xfId="9" quotePrefix="1" applyFont="1" applyBorder="1" applyAlignment="1">
      <alignment horizontal="center" vertical="center"/>
    </xf>
    <xf numFmtId="0" fontId="8" fillId="0" borderId="8" xfId="9" applyFont="1" applyBorder="1">
      <alignment vertical="center"/>
    </xf>
    <xf numFmtId="0" fontId="8" fillId="0" borderId="8" xfId="10" applyFont="1" applyBorder="1" applyAlignment="1">
      <alignment vertical="center" shrinkToFit="1"/>
    </xf>
    <xf numFmtId="178" fontId="8" fillId="0" borderId="8" xfId="9" quotePrefix="1" applyNumberFormat="1" applyFont="1" applyBorder="1" applyAlignment="1">
      <alignment horizontal="center" vertical="center"/>
    </xf>
    <xf numFmtId="49" fontId="8" fillId="0" borderId="8" xfId="9" quotePrefix="1" applyNumberFormat="1" applyFont="1" applyBorder="1" applyAlignment="1">
      <alignment horizontal="center" vertical="center"/>
    </xf>
    <xf numFmtId="0" fontId="8" fillId="5" borderId="8" xfId="9" applyFont="1" applyFill="1" applyBorder="1">
      <alignment vertical="center"/>
    </xf>
    <xf numFmtId="0" fontId="8" fillId="0" borderId="13" xfId="10" applyFont="1" applyBorder="1">
      <alignment vertical="center"/>
    </xf>
    <xf numFmtId="178" fontId="8" fillId="0" borderId="13" xfId="9" quotePrefix="1" applyNumberFormat="1" applyFont="1" applyBorder="1" applyAlignment="1">
      <alignment horizontal="center" vertical="center"/>
    </xf>
    <xf numFmtId="49" fontId="8" fillId="0" borderId="13" xfId="9" quotePrefix="1" applyNumberFormat="1" applyFont="1" applyBorder="1" applyAlignment="1">
      <alignment horizontal="center" vertical="center"/>
    </xf>
    <xf numFmtId="0" fontId="8" fillId="5" borderId="13" xfId="9" applyFont="1" applyFill="1" applyBorder="1">
      <alignment vertical="center"/>
    </xf>
    <xf numFmtId="0" fontId="8" fillId="0" borderId="7" xfId="10" applyFont="1" applyBorder="1">
      <alignment vertical="center"/>
    </xf>
    <xf numFmtId="0" fontId="8" fillId="0" borderId="7" xfId="10" applyFont="1" applyBorder="1" applyAlignment="1">
      <alignment vertical="center" shrinkToFit="1"/>
    </xf>
    <xf numFmtId="178" fontId="8" fillId="0" borderId="7" xfId="9" quotePrefix="1" applyNumberFormat="1" applyFont="1" applyBorder="1" applyAlignment="1">
      <alignment horizontal="center" vertical="center"/>
    </xf>
    <xf numFmtId="49" fontId="8" fillId="0" borderId="7" xfId="9" quotePrefix="1" applyNumberFormat="1" applyFont="1" applyBorder="1" applyAlignment="1">
      <alignment horizontal="center" vertical="center"/>
    </xf>
    <xf numFmtId="0" fontId="10" fillId="0" borderId="8" xfId="10" applyFont="1" applyBorder="1">
      <alignment vertical="center"/>
    </xf>
    <xf numFmtId="178" fontId="10" fillId="0" borderId="8" xfId="9" quotePrefix="1" applyNumberFormat="1" applyFont="1" applyBorder="1" applyAlignment="1">
      <alignment horizontal="center" vertical="center"/>
    </xf>
    <xf numFmtId="49" fontId="10" fillId="0" borderId="8" xfId="9" quotePrefix="1" applyNumberFormat="1" applyFont="1" applyBorder="1" applyAlignment="1">
      <alignment horizontal="center" vertical="center"/>
    </xf>
    <xf numFmtId="0" fontId="10" fillId="0" borderId="14" xfId="10" applyFont="1" applyBorder="1">
      <alignment vertical="center"/>
    </xf>
    <xf numFmtId="0" fontId="8" fillId="0" borderId="14" xfId="10" applyFont="1" applyBorder="1" applyAlignment="1">
      <alignment vertical="center" shrinkToFit="1"/>
    </xf>
    <xf numFmtId="178" fontId="10" fillId="0" borderId="14" xfId="9" quotePrefix="1" applyNumberFormat="1" applyFont="1" applyBorder="1" applyAlignment="1">
      <alignment horizontal="center" vertical="center"/>
    </xf>
    <xf numFmtId="49" fontId="10" fillId="0" borderId="14" xfId="9" quotePrefix="1" applyNumberFormat="1" applyFont="1" applyBorder="1" applyAlignment="1">
      <alignment horizontal="center" vertical="center"/>
    </xf>
    <xf numFmtId="0" fontId="8" fillId="5" borderId="14" xfId="9" applyFont="1" applyFill="1" applyBorder="1">
      <alignment vertical="center"/>
    </xf>
    <xf numFmtId="178" fontId="8" fillId="0" borderId="1" xfId="9" quotePrefix="1" applyNumberFormat="1" applyFont="1" applyBorder="1" applyAlignment="1">
      <alignment horizontal="center" vertical="center"/>
    </xf>
    <xf numFmtId="49" fontId="8" fillId="0" borderId="1" xfId="9" quotePrefix="1" applyNumberFormat="1" applyFont="1" applyBorder="1" applyAlignment="1">
      <alignment horizontal="center" vertical="center"/>
    </xf>
    <xf numFmtId="0" fontId="10" fillId="0" borderId="8" xfId="9" applyFont="1" applyBorder="1">
      <alignment vertical="center"/>
    </xf>
    <xf numFmtId="0" fontId="10" fillId="0" borderId="13" xfId="9" applyFont="1" applyBorder="1">
      <alignment vertical="center"/>
    </xf>
    <xf numFmtId="178" fontId="10" fillId="0" borderId="13" xfId="9" quotePrefix="1" applyNumberFormat="1" applyFont="1" applyBorder="1" applyAlignment="1">
      <alignment horizontal="center" vertical="center"/>
    </xf>
    <xf numFmtId="49" fontId="10" fillId="0" borderId="13" xfId="9" quotePrefix="1" applyNumberFormat="1" applyFont="1" applyBorder="1" applyAlignment="1">
      <alignment horizontal="center" vertical="center"/>
    </xf>
    <xf numFmtId="0" fontId="8" fillId="0" borderId="13" xfId="9" applyFont="1" applyBorder="1">
      <alignment vertical="center"/>
    </xf>
    <xf numFmtId="178" fontId="10" fillId="5" borderId="13" xfId="9" quotePrefix="1" applyNumberFormat="1" applyFont="1" applyFill="1" applyBorder="1" applyAlignment="1">
      <alignment horizontal="center" vertical="center"/>
    </xf>
    <xf numFmtId="0" fontId="10" fillId="5" borderId="13" xfId="9" applyFont="1" applyFill="1" applyBorder="1">
      <alignment vertical="center"/>
    </xf>
    <xf numFmtId="49" fontId="8" fillId="0" borderId="13" xfId="9" applyNumberFormat="1" applyFont="1" applyBorder="1" applyAlignment="1">
      <alignment horizontal="center" vertical="center"/>
    </xf>
    <xf numFmtId="178" fontId="10" fillId="12" borderId="13" xfId="9" quotePrefix="1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 shrinkToFit="1"/>
    </xf>
    <xf numFmtId="0" fontId="8" fillId="0" borderId="7" xfId="9" quotePrefix="1" applyFont="1" applyBorder="1" applyAlignment="1">
      <alignment horizontal="center" vertical="center"/>
    </xf>
    <xf numFmtId="0" fontId="10" fillId="0" borderId="1" xfId="9" applyFont="1" applyBorder="1">
      <alignment vertical="center"/>
    </xf>
    <xf numFmtId="0" fontId="10" fillId="0" borderId="1" xfId="10" applyFont="1" applyBorder="1">
      <alignment vertical="center"/>
    </xf>
    <xf numFmtId="178" fontId="10" fillId="0" borderId="1" xfId="9" quotePrefix="1" applyNumberFormat="1" applyFont="1" applyBorder="1" applyAlignment="1">
      <alignment horizontal="center" vertical="center"/>
    </xf>
    <xf numFmtId="49" fontId="10" fillId="0" borderId="1" xfId="9" quotePrefix="1" applyNumberFormat="1" applyFont="1" applyBorder="1" applyAlignment="1">
      <alignment horizontal="center" vertical="center"/>
    </xf>
    <xf numFmtId="0" fontId="8" fillId="5" borderId="1" xfId="9" applyFont="1" applyFill="1" applyBorder="1" applyAlignment="1">
      <alignment vertical="center" wrapText="1"/>
    </xf>
    <xf numFmtId="49" fontId="8" fillId="0" borderId="1" xfId="9" applyNumberFormat="1" applyFont="1" applyBorder="1" applyAlignment="1">
      <alignment horizontal="center" vertical="center"/>
    </xf>
    <xf numFmtId="0" fontId="8" fillId="0" borderId="1" xfId="9" quotePrefix="1" applyFont="1" applyBorder="1">
      <alignment vertical="center"/>
    </xf>
    <xf numFmtId="0" fontId="8" fillId="5" borderId="1" xfId="9" quotePrefix="1" applyFont="1" applyFill="1" applyBorder="1">
      <alignment vertical="center"/>
    </xf>
    <xf numFmtId="0" fontId="8" fillId="0" borderId="15" xfId="9" applyFont="1" applyBorder="1">
      <alignment vertical="center"/>
    </xf>
    <xf numFmtId="0" fontId="8" fillId="0" borderId="15" xfId="10" applyFont="1" applyBorder="1" applyAlignment="1">
      <alignment vertical="center" wrapText="1"/>
    </xf>
    <xf numFmtId="178" fontId="8" fillId="0" borderId="15" xfId="9" quotePrefix="1" applyNumberFormat="1" applyFont="1" applyBorder="1" applyAlignment="1">
      <alignment horizontal="center" vertical="center"/>
    </xf>
    <xf numFmtId="49" fontId="8" fillId="0" borderId="15" xfId="9" quotePrefix="1" applyNumberFormat="1" applyFont="1" applyBorder="1" applyAlignment="1">
      <alignment horizontal="center" vertical="center"/>
    </xf>
    <xf numFmtId="0" fontId="8" fillId="0" borderId="1" xfId="9" applyFont="1" applyBorder="1" applyAlignment="1">
      <alignment vertical="center" wrapText="1"/>
    </xf>
    <xf numFmtId="14" fontId="15" fillId="0" borderId="0" xfId="0" applyNumberFormat="1" applyFont="1" applyAlignment="1">
      <alignment vertical="center"/>
    </xf>
    <xf numFmtId="0" fontId="8" fillId="0" borderId="1" xfId="4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1" xfId="7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7" fontId="10" fillId="0" borderId="0" xfId="0" quotePrefix="1" applyNumberFormat="1" applyFont="1" applyAlignment="1">
      <alignment horizontal="left" vertical="center"/>
    </xf>
    <xf numFmtId="14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176" fontId="8" fillId="0" borderId="1" xfId="0" quotePrefix="1" applyNumberFormat="1" applyFont="1" applyBorder="1" applyAlignment="1">
      <alignment horizontal="center" vertical="center" shrinkToFit="1"/>
    </xf>
    <xf numFmtId="182" fontId="8" fillId="0" borderId="1" xfId="0" applyNumberFormat="1" applyFont="1" applyBorder="1" applyAlignment="1">
      <alignment horizontal="center" vertical="center" shrinkToFit="1"/>
    </xf>
    <xf numFmtId="0" fontId="8" fillId="0" borderId="16" xfId="0" applyFont="1" applyBorder="1" applyAlignment="1">
      <alignment horizontal="center" vertical="center" shrinkToFit="1"/>
    </xf>
    <xf numFmtId="183" fontId="8" fillId="0" borderId="1" xfId="0" applyNumberFormat="1" applyFont="1" applyBorder="1" applyAlignment="1">
      <alignment horizontal="center" vertical="center" shrinkToFit="1"/>
    </xf>
    <xf numFmtId="5" fontId="8" fillId="0" borderId="1" xfId="0" applyNumberFormat="1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center" vertical="center" shrinkToFit="1"/>
    </xf>
    <xf numFmtId="0" fontId="8" fillId="0" borderId="8" xfId="0" applyFont="1" applyBorder="1" applyAlignment="1">
      <alignment vertical="center" shrinkToFit="1"/>
    </xf>
    <xf numFmtId="0" fontId="17" fillId="0" borderId="8" xfId="0" quotePrefix="1" applyFont="1" applyBorder="1" applyAlignment="1">
      <alignment horizontal="center" vertical="center" shrinkToFit="1"/>
    </xf>
    <xf numFmtId="181" fontId="8" fillId="0" borderId="8" xfId="0" applyNumberFormat="1" applyFont="1" applyBorder="1" applyAlignment="1">
      <alignment horizontal="center" vertical="center" shrinkToFit="1"/>
    </xf>
    <xf numFmtId="38" fontId="8" fillId="0" borderId="8" xfId="1" applyFont="1" applyBorder="1" applyAlignment="1">
      <alignment vertical="center" shrinkToFit="1"/>
    </xf>
    <xf numFmtId="176" fontId="8" fillId="0" borderId="8" xfId="0" applyNumberFormat="1" applyFont="1" applyBorder="1" applyAlignment="1">
      <alignment horizontal="center" vertical="center" shrinkToFit="1"/>
    </xf>
    <xf numFmtId="0" fontId="8" fillId="0" borderId="8" xfId="0" quotePrefix="1" applyFont="1" applyBorder="1" applyAlignment="1">
      <alignment horizontal="center" vertical="center" shrinkToFit="1"/>
    </xf>
    <xf numFmtId="0" fontId="8" fillId="5" borderId="8" xfId="0" applyFont="1" applyFill="1" applyBorder="1" applyAlignment="1">
      <alignment horizontal="center" vertical="center" shrinkToFit="1"/>
    </xf>
    <xf numFmtId="0" fontId="10" fillId="0" borderId="13" xfId="9" applyFont="1" applyBorder="1" applyAlignment="1">
      <alignment horizontal="center" vertical="center"/>
    </xf>
    <xf numFmtId="0" fontId="11" fillId="0" borderId="18" xfId="9" applyFont="1" applyBorder="1">
      <alignment vertical="center"/>
    </xf>
    <xf numFmtId="0" fontId="11" fillId="0" borderId="7" xfId="9" applyFont="1" applyBorder="1" applyAlignment="1">
      <alignment horizontal="center" vertical="center"/>
    </xf>
    <xf numFmtId="56" fontId="8" fillId="0" borderId="1" xfId="0" applyNumberFormat="1" applyFont="1" applyBorder="1" applyAlignment="1">
      <alignment horizontal="center" vertical="center" shrinkToFit="1"/>
    </xf>
    <xf numFmtId="14" fontId="8" fillId="0" borderId="1" xfId="0" quotePrefix="1" applyNumberFormat="1" applyFont="1" applyBorder="1" applyAlignment="1">
      <alignment horizontal="center" vertical="center" shrinkToFit="1"/>
    </xf>
    <xf numFmtId="0" fontId="8" fillId="0" borderId="12" xfId="9" quotePrefix="1" applyFont="1" applyBorder="1" applyAlignment="1">
      <alignment horizontal="center" vertical="center"/>
    </xf>
    <xf numFmtId="0" fontId="11" fillId="0" borderId="17" xfId="9" applyFont="1" applyBorder="1">
      <alignment vertical="center"/>
    </xf>
    <xf numFmtId="38" fontId="8" fillId="0" borderId="1" xfId="1" applyFont="1" applyBorder="1" applyAlignment="1">
      <alignment horizontal="center" vertical="center" shrinkToFit="1"/>
    </xf>
    <xf numFmtId="0" fontId="10" fillId="0" borderId="8" xfId="0" quotePrefix="1" applyFont="1" applyBorder="1" applyAlignment="1">
      <alignment horizontal="center" vertical="center" shrinkToFit="1"/>
    </xf>
    <xf numFmtId="176" fontId="8" fillId="0" borderId="8" xfId="0" quotePrefix="1" applyNumberFormat="1" applyFont="1" applyBorder="1" applyAlignment="1">
      <alignment horizontal="center" vertical="center" shrinkToFit="1"/>
    </xf>
    <xf numFmtId="14" fontId="8" fillId="0" borderId="1" xfId="0" applyNumberFormat="1" applyFont="1" applyBorder="1" applyAlignment="1">
      <alignment horizontal="center" vertical="center" shrinkToFit="1"/>
    </xf>
    <xf numFmtId="38" fontId="8" fillId="0" borderId="0" xfId="1" applyFont="1" applyBorder="1" applyAlignment="1">
      <alignment vertical="center" shrinkToFit="1"/>
    </xf>
    <xf numFmtId="0" fontId="8" fillId="0" borderId="2" xfId="0" applyFont="1" applyBorder="1" applyAlignment="1">
      <alignment vertical="center" shrinkToFit="1"/>
    </xf>
    <xf numFmtId="38" fontId="8" fillId="0" borderId="2" xfId="1" applyFont="1" applyBorder="1" applyAlignment="1">
      <alignment vertical="center" shrinkToFit="1"/>
    </xf>
    <xf numFmtId="0" fontId="8" fillId="0" borderId="5" xfId="9" quotePrefix="1" applyFont="1" applyBorder="1" applyAlignment="1">
      <alignment horizontal="center" vertical="center"/>
    </xf>
    <xf numFmtId="0" fontId="8" fillId="0" borderId="19" xfId="9" quotePrefix="1" applyFont="1" applyBorder="1" applyAlignment="1">
      <alignment horizontal="center" vertical="center"/>
    </xf>
    <xf numFmtId="0" fontId="8" fillId="0" borderId="19" xfId="10" quotePrefix="1" applyFont="1" applyBorder="1">
      <alignment vertical="center"/>
    </xf>
    <xf numFmtId="0" fontId="8" fillId="0" borderId="19" xfId="9" quotePrefix="1" applyFont="1" applyBorder="1">
      <alignment vertical="center"/>
    </xf>
    <xf numFmtId="0" fontId="8" fillId="0" borderId="20" xfId="0" applyFont="1" applyBorder="1" applyAlignment="1">
      <alignment vertical="center" shrinkToFit="1"/>
    </xf>
    <xf numFmtId="14" fontId="8" fillId="0" borderId="8" xfId="0" quotePrefix="1" applyNumberFormat="1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38" fontId="8" fillId="3" borderId="3" xfId="1" applyFont="1" applyFill="1" applyBorder="1" applyAlignment="1">
      <alignment horizontal="center" vertical="center" shrinkToFit="1"/>
    </xf>
    <xf numFmtId="38" fontId="8" fillId="3" borderId="4" xfId="1" applyFont="1" applyFill="1" applyBorder="1" applyAlignment="1">
      <alignment horizontal="center" vertical="center" shrinkToFit="1"/>
    </xf>
    <xf numFmtId="38" fontId="8" fillId="3" borderId="5" xfId="1" applyFont="1" applyFill="1" applyBorder="1" applyAlignment="1">
      <alignment horizontal="center" vertical="center" shrinkToFit="1"/>
    </xf>
    <xf numFmtId="38" fontId="8" fillId="3" borderId="6" xfId="1" applyFont="1" applyFill="1" applyBorder="1" applyAlignment="1">
      <alignment horizontal="center" vertical="center" shrinkToFit="1"/>
    </xf>
    <xf numFmtId="38" fontId="8" fillId="3" borderId="2" xfId="1" applyFont="1" applyFill="1" applyBorder="1" applyAlignment="1">
      <alignment horizontal="center" vertical="center" shrinkToFit="1"/>
    </xf>
    <xf numFmtId="38" fontId="8" fillId="3" borderId="12" xfId="1" applyFont="1" applyFill="1" applyBorder="1" applyAlignment="1">
      <alignment horizontal="center" vertical="center" shrinkToFit="1"/>
    </xf>
    <xf numFmtId="0" fontId="8" fillId="0" borderId="2" xfId="0" applyFont="1" applyBorder="1" applyAlignment="1">
      <alignment horizontal="right" vertical="center" shrinkToFit="1"/>
    </xf>
    <xf numFmtId="179" fontId="8" fillId="2" borderId="3" xfId="1" applyNumberFormat="1" applyFont="1" applyFill="1" applyBorder="1" applyAlignment="1">
      <alignment horizontal="center" vertical="center" shrinkToFit="1"/>
    </xf>
    <xf numFmtId="179" fontId="8" fillId="2" borderId="4" xfId="1" applyNumberFormat="1" applyFont="1" applyFill="1" applyBorder="1" applyAlignment="1">
      <alignment horizontal="center" vertical="center" shrinkToFit="1"/>
    </xf>
    <xf numFmtId="179" fontId="8" fillId="2" borderId="6" xfId="1" applyNumberFormat="1" applyFont="1" applyFill="1" applyBorder="1" applyAlignment="1">
      <alignment horizontal="center" vertical="center" shrinkToFit="1"/>
    </xf>
    <xf numFmtId="179" fontId="8" fillId="2" borderId="2" xfId="1" applyNumberFormat="1" applyFont="1" applyFill="1" applyBorder="1" applyAlignment="1">
      <alignment horizontal="center" vertical="center" shrinkToFit="1"/>
    </xf>
    <xf numFmtId="0" fontId="8" fillId="6" borderId="4" xfId="0" applyFont="1" applyFill="1" applyBorder="1" applyAlignment="1">
      <alignment horizontal="center" vertical="center" shrinkToFit="1"/>
    </xf>
    <xf numFmtId="0" fontId="8" fillId="6" borderId="2" xfId="0" applyFont="1" applyFill="1" applyBorder="1" applyAlignment="1">
      <alignment horizontal="center" vertical="center" shrinkToFit="1"/>
    </xf>
    <xf numFmtId="38" fontId="8" fillId="4" borderId="4" xfId="1" applyFont="1" applyFill="1" applyBorder="1" applyAlignment="1">
      <alignment horizontal="center" vertical="center" shrinkToFit="1"/>
    </xf>
    <xf numFmtId="38" fontId="8" fillId="4" borderId="2" xfId="1" applyFont="1" applyFill="1" applyBorder="1" applyAlignment="1">
      <alignment horizontal="center" vertical="center" shrinkToFit="1"/>
    </xf>
    <xf numFmtId="0" fontId="8" fillId="0" borderId="1" xfId="9" applyFont="1" applyBorder="1" applyAlignment="1">
      <alignment horizontal="center" vertical="center"/>
    </xf>
    <xf numFmtId="0" fontId="8" fillId="0" borderId="11" xfId="9" applyFont="1" applyBorder="1" applyAlignment="1">
      <alignment horizontal="center" vertical="center"/>
    </xf>
    <xf numFmtId="0" fontId="8" fillId="0" borderId="1" xfId="9" applyFont="1" applyBorder="1">
      <alignment vertical="center"/>
    </xf>
    <xf numFmtId="0" fontId="8" fillId="0" borderId="1" xfId="9" quotePrefix="1" applyFont="1" applyBorder="1" applyAlignment="1">
      <alignment horizontal="center" vertical="center"/>
    </xf>
    <xf numFmtId="0" fontId="8" fillId="5" borderId="1" xfId="9" applyFont="1" applyFill="1" applyBorder="1" applyAlignment="1">
      <alignment vertical="center" wrapText="1"/>
    </xf>
  </cellXfs>
  <cellStyles count="11">
    <cellStyle name="桁区切り" xfId="1" builtinId="6"/>
    <cellStyle name="桁区切り 2" xfId="3" xr:uid="{86C53C7D-8482-4029-B8CB-5BB1E60D1182}"/>
    <cellStyle name="標準" xfId="0" builtinId="0"/>
    <cellStyle name="標準 2" xfId="2" xr:uid="{9DA8DDDF-ABF2-4FCB-A54F-57117461C9D5}"/>
    <cellStyle name="標準 3" xfId="4" xr:uid="{9E020B82-3273-4361-84AC-49F383A01960}"/>
    <cellStyle name="標準 3 2" xfId="7" xr:uid="{55CA05D2-E36F-4E36-BA42-4205C1C05D1C}"/>
    <cellStyle name="標準 3 2 2" xfId="9" xr:uid="{C8911DE9-2C18-4A0D-8C17-61464A9A29E8}"/>
    <cellStyle name="標準 4" xfId="5" xr:uid="{30DD73C2-C655-4E35-9623-C95FC2D38B3C}"/>
    <cellStyle name="標準 5" xfId="6" xr:uid="{532D06A4-4A55-41E8-B15B-4DD7EF77E49E}"/>
    <cellStyle name="標準 5 2" xfId="8" xr:uid="{62313793-F286-426D-A15E-1B5FAB0F5BC1}"/>
    <cellStyle name="標準 5 2 2" xfId="10" xr:uid="{8359A6F0-4917-4864-8829-9F6C33EB2004}"/>
  </cellStyles>
  <dxfs count="176"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6</xdr:col>
      <xdr:colOff>0</xdr:colOff>
      <xdr:row>29</xdr:row>
      <xdr:rowOff>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F961BFEA-4100-4B8C-81C0-6A0B04BC6D9A}"/>
            </a:ext>
          </a:extLst>
        </xdr:cNvPr>
        <xdr:cNvCxnSpPr/>
      </xdr:nvCxnSpPr>
      <xdr:spPr>
        <a:xfrm>
          <a:off x="381000" y="4838700"/>
          <a:ext cx="3136900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23</xdr:row>
      <xdr:rowOff>0</xdr:rowOff>
    </xdr:from>
    <xdr:to>
      <xdr:col>6</xdr:col>
      <xdr:colOff>0</xdr:colOff>
      <xdr:row>29</xdr:row>
      <xdr:rowOff>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3DFCDB68-B88D-411A-90DF-0526C20C5A4A}"/>
            </a:ext>
          </a:extLst>
        </xdr:cNvPr>
        <xdr:cNvCxnSpPr/>
      </xdr:nvCxnSpPr>
      <xdr:spPr>
        <a:xfrm flipV="1">
          <a:off x="381000" y="4838700"/>
          <a:ext cx="3136900" cy="0"/>
        </a:xfrm>
        <a:prstGeom prst="line">
          <a:avLst/>
        </a:prstGeom>
        <a:ln w="63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ie_\Downloads\&#9670;&#31649;&#29702;&#21488;&#24115;_&#35211;&#31309;&#26360;&#12539;&#35531;&#27714;&#26360;&#12539;&#27880;&#25991;&#26360;&#30330;&#34892;_&#12456;&#12531;&#12472;&#12491;&#12450;&#12522;&#12531;&#12464;&#12499;&#12472;&#12493;&#12473;&#38283;&#30330;&#37096;.xlsx" TargetMode="External"/><Relationship Id="rId1" Type="http://schemas.openxmlformats.org/officeDocument/2006/relationships/externalLinkPath" Target="file:///\\Ls220daa5\eng&#20107;&#26989;&#37096;\Users\chie_\Downloads\&#9670;&#31649;&#29702;&#21488;&#24115;_&#35211;&#31309;&#26360;&#12539;&#35531;&#27714;&#26360;&#12539;&#27880;&#25991;&#26360;&#30330;&#34892;_&#12456;&#12531;&#12472;&#12491;&#12450;&#12522;&#12531;&#12464;&#12499;&#12472;&#12493;&#12473;&#38283;&#30330;&#370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見積書・請求書"/>
      <sheetName val="2022見積書・請求書"/>
      <sheetName val="注文書(外注・物品購入)"/>
      <sheetName val="開発部(関東)"/>
      <sheetName val="委託プロジェクトコード"/>
      <sheetName val="顧客リスト"/>
      <sheetName val="採番ルール"/>
      <sheetName val="支払い時期に関して"/>
      <sheetName val="旧№取得について"/>
      <sheetName val="プルダウンメニュー項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5E30-D130-4AE4-B601-CB84965523E4}">
  <sheetPr codeName="Sheet1">
    <tabColor rgb="FF0070C0"/>
  </sheetPr>
  <dimension ref="A1"/>
  <sheetViews>
    <sheetView topLeftCell="A7" workbookViewId="0">
      <selection activeCell="B14" sqref="B14"/>
    </sheetView>
  </sheetViews>
  <sheetFormatPr defaultRowHeight="18"/>
  <sheetData/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  <pageSetUpPr fitToPage="1"/>
  </sheetPr>
  <dimension ref="A1:AA10"/>
  <sheetViews>
    <sheetView zoomScaleNormal="100" workbookViewId="0">
      <pane ySplit="3" topLeftCell="A7" activePane="bottomLeft" state="frozen"/>
      <selection activeCell="C12" sqref="C12"/>
      <selection pane="bottomLeft" activeCell="E12" sqref="E11:E12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customWidth="1"/>
    <col min="6" max="6" width="10.296875" style="62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4" style="8" hidden="1" customWidth="1"/>
    <col min="13" max="13" width="9.296875" style="9" hidden="1" customWidth="1"/>
    <col min="14" max="14" width="5.796875" style="8" hidden="1" customWidth="1"/>
    <col min="15" max="15" width="7.5" style="50" hidden="1" customWidth="1"/>
    <col min="16" max="16" width="5" style="8" hidden="1" customWidth="1"/>
    <col min="17" max="17" width="4" style="8" hidden="1" customWidth="1"/>
    <col min="18" max="18" width="6.59765625" style="5" hidden="1" customWidth="1"/>
    <col min="19" max="19" width="5.796875" style="8" hidden="1" customWidth="1"/>
    <col min="20" max="20" width="7.5" style="50" hidden="1" customWidth="1"/>
    <col min="21" max="21" width="5" style="8" hidden="1" customWidth="1"/>
    <col min="22" max="22" width="6.59765625" style="9" hidden="1" customWidth="1" collapsed="1"/>
    <col min="23" max="23" width="7.5" style="11" hidden="1" customWidth="1"/>
    <col min="24" max="24" width="9.5" style="5" hidden="1" customWidth="1"/>
    <col min="25" max="25" width="5" style="5" hidden="1" customWidth="1"/>
    <col min="26" max="26" width="32.59765625" style="5" customWidth="1"/>
    <col min="27" max="27" width="8.59765625" customWidth="1"/>
    <col min="28" max="16384" width="8.59765625" style="5"/>
  </cols>
  <sheetData>
    <row r="1" spans="1:27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L1" s="15"/>
      <c r="M1" s="192" t="s">
        <v>3</v>
      </c>
      <c r="N1" s="192"/>
      <c r="O1" s="192"/>
      <c r="P1" s="192"/>
      <c r="Q1" s="13"/>
      <c r="R1" s="190" t="s">
        <v>4</v>
      </c>
      <c r="S1" s="190"/>
      <c r="T1" s="190"/>
      <c r="U1" s="190"/>
      <c r="V1" s="186" t="s">
        <v>5</v>
      </c>
      <c r="W1" s="187"/>
      <c r="X1" s="187"/>
      <c r="Y1" s="59"/>
      <c r="AA1" s="5"/>
    </row>
    <row r="2" spans="1:27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L2" s="16"/>
      <c r="M2" s="193"/>
      <c r="N2" s="193"/>
      <c r="O2" s="193"/>
      <c r="P2" s="193"/>
      <c r="Q2" s="14"/>
      <c r="R2" s="191"/>
      <c r="S2" s="191"/>
      <c r="T2" s="191"/>
      <c r="U2" s="191"/>
      <c r="V2" s="188"/>
      <c r="W2" s="189"/>
      <c r="X2" s="189"/>
      <c r="Y2" s="60"/>
      <c r="AA2" s="5"/>
    </row>
    <row r="3" spans="1:27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8" t="s">
        <v>19</v>
      </c>
      <c r="M3" s="29" t="s">
        <v>20</v>
      </c>
      <c r="N3" s="28" t="s">
        <v>21</v>
      </c>
      <c r="O3" s="30" t="s">
        <v>17</v>
      </c>
      <c r="P3" s="28" t="s">
        <v>18</v>
      </c>
      <c r="Q3" s="31" t="s">
        <v>22</v>
      </c>
      <c r="R3" s="31" t="s">
        <v>23</v>
      </c>
      <c r="S3" s="31" t="s">
        <v>21</v>
      </c>
      <c r="T3" s="36" t="s">
        <v>17</v>
      </c>
      <c r="U3" s="31" t="s">
        <v>18</v>
      </c>
      <c r="V3" s="49" t="s">
        <v>24</v>
      </c>
      <c r="W3" s="37" t="s">
        <v>25</v>
      </c>
      <c r="X3" s="32" t="s">
        <v>26</v>
      </c>
      <c r="Y3" s="32" t="s">
        <v>18</v>
      </c>
      <c r="Z3" s="25" t="s">
        <v>27</v>
      </c>
    </row>
    <row r="4" spans="1:27" ht="18" customHeight="1" thickTop="1">
      <c r="A4" s="17"/>
      <c r="B4" s="3"/>
      <c r="C4" s="4"/>
      <c r="D4" s="12"/>
      <c r="E4" s="4"/>
      <c r="F4" s="61"/>
      <c r="G4" s="4"/>
      <c r="H4" s="10"/>
      <c r="I4" s="3"/>
      <c r="J4" s="1"/>
      <c r="K4" s="3"/>
      <c r="L4" s="6"/>
      <c r="M4" s="10"/>
      <c r="N4" s="3"/>
      <c r="O4" s="1"/>
      <c r="P4" s="3"/>
      <c r="Q4" s="3"/>
      <c r="R4" s="4"/>
      <c r="S4" s="3"/>
      <c r="T4" s="1"/>
      <c r="U4" s="3"/>
      <c r="V4" s="4"/>
      <c r="W4" s="2"/>
      <c r="X4" s="4"/>
      <c r="Y4" s="4"/>
      <c r="Z4" s="4"/>
      <c r="AA4" s="5"/>
    </row>
    <row r="5" spans="1:27" ht="18" customHeight="1">
      <c r="A5" s="17"/>
      <c r="B5" s="3"/>
      <c r="C5" s="4"/>
      <c r="D5" s="12"/>
      <c r="E5" s="4"/>
      <c r="F5" s="61"/>
      <c r="G5" s="4"/>
      <c r="H5" s="10"/>
      <c r="I5" s="3"/>
      <c r="J5" s="1"/>
      <c r="K5" s="3"/>
      <c r="L5" s="6"/>
      <c r="M5" s="10"/>
      <c r="N5" s="3"/>
      <c r="O5" s="1"/>
      <c r="P5" s="3"/>
      <c r="Q5" s="3"/>
      <c r="R5" s="4"/>
      <c r="S5" s="3"/>
      <c r="T5" s="1"/>
      <c r="U5" s="3"/>
      <c r="V5" s="4"/>
      <c r="W5" s="2"/>
      <c r="X5" s="4"/>
      <c r="Y5" s="4"/>
      <c r="Z5" s="4"/>
      <c r="AA5" s="5"/>
    </row>
    <row r="6" spans="1:27" ht="18" customHeight="1">
      <c r="A6" s="17"/>
      <c r="B6" s="3"/>
      <c r="C6" s="4"/>
      <c r="D6" s="12"/>
      <c r="E6" s="4"/>
      <c r="F6" s="61"/>
      <c r="G6" s="4"/>
      <c r="H6" s="10"/>
      <c r="I6" s="3"/>
      <c r="J6" s="1"/>
      <c r="K6" s="3"/>
      <c r="L6" s="6"/>
      <c r="M6" s="10"/>
      <c r="N6" s="3"/>
      <c r="O6" s="1"/>
      <c r="P6" s="3"/>
      <c r="Q6" s="3"/>
      <c r="R6" s="4"/>
      <c r="S6" s="3"/>
      <c r="T6" s="1"/>
      <c r="U6" s="3"/>
      <c r="V6" s="4"/>
      <c r="W6" s="2"/>
      <c r="X6" s="4"/>
      <c r="Y6" s="4"/>
      <c r="Z6" s="4"/>
      <c r="AA6" s="5"/>
    </row>
    <row r="7" spans="1:27" ht="18" customHeight="1">
      <c r="A7" s="17"/>
      <c r="B7" s="3"/>
      <c r="C7" s="4"/>
      <c r="D7" s="12"/>
      <c r="E7" s="4"/>
      <c r="F7" s="61"/>
      <c r="G7" s="4"/>
      <c r="H7" s="10"/>
      <c r="I7" s="3"/>
      <c r="J7" s="1"/>
      <c r="K7" s="3"/>
      <c r="L7" s="6"/>
      <c r="M7" s="10"/>
      <c r="N7" s="3"/>
      <c r="O7" s="1"/>
      <c r="P7" s="3"/>
      <c r="Q7" s="3"/>
      <c r="R7" s="4"/>
      <c r="S7" s="3"/>
      <c r="T7" s="1"/>
      <c r="U7" s="3"/>
      <c r="V7" s="4"/>
      <c r="W7" s="2"/>
      <c r="X7" s="4"/>
      <c r="Y7" s="4"/>
      <c r="Z7" s="4"/>
      <c r="AA7" s="5"/>
    </row>
    <row r="8" spans="1:27" ht="18" customHeight="1">
      <c r="A8" s="17"/>
      <c r="B8" s="3"/>
      <c r="C8" s="4"/>
      <c r="D8" s="12"/>
      <c r="E8" s="4"/>
      <c r="F8" s="61"/>
      <c r="G8" s="4"/>
      <c r="H8" s="10"/>
      <c r="I8" s="3"/>
      <c r="J8" s="1"/>
      <c r="K8" s="3"/>
      <c r="L8" s="6"/>
      <c r="M8" s="10"/>
      <c r="N8" s="3"/>
      <c r="O8" s="1"/>
      <c r="P8" s="3"/>
      <c r="Q8" s="3"/>
      <c r="R8" s="4"/>
      <c r="S8" s="3"/>
      <c r="T8" s="1"/>
      <c r="U8" s="3"/>
      <c r="V8" s="4"/>
      <c r="W8" s="2"/>
      <c r="X8" s="4"/>
      <c r="Y8" s="4"/>
      <c r="Z8" s="4"/>
      <c r="AA8" s="5"/>
    </row>
    <row r="9" spans="1:27" ht="18" customHeight="1"/>
    <row r="10" spans="1:27" ht="18" customHeight="1"/>
  </sheetData>
  <autoFilter ref="A3:K6" xr:uid="{00000000-0001-0000-0000-000000000000}"/>
  <mergeCells count="6">
    <mergeCell ref="V1:X2"/>
    <mergeCell ref="R1:U2"/>
    <mergeCell ref="M1:P2"/>
    <mergeCell ref="A2:B2"/>
    <mergeCell ref="A1:B1"/>
    <mergeCell ref="H1:K2"/>
  </mergeCells>
  <phoneticPr fontId="7"/>
  <conditionalFormatting sqref="A1:A1048576">
    <cfRule type="containsText" dxfId="175" priority="1" operator="containsText" text="見積！">
      <formula>NOT(ISERROR(SEARCH("見積！",A1)))</formula>
    </cfRule>
  </conditionalFormatting>
  <conditionalFormatting sqref="A4:A1048576">
    <cfRule type="containsText" dxfId="174" priority="235" operator="containsText" text="着手">
      <formula>NOT(ISERROR(SEARCH("着手",A4)))</formula>
    </cfRule>
    <cfRule type="containsText" dxfId="173" priority="236" operator="containsText" text="見積完了">
      <formula>NOT(ISERROR(SEARCH("見積完了",A4)))</formula>
    </cfRule>
    <cfRule type="containsText" dxfId="172" priority="238" operator="containsText" text="中止">
      <formula>NOT(ISERROR(SEARCH("中止",A4)))</formula>
    </cfRule>
    <cfRule type="containsText" dxfId="171" priority="239" operator="containsText" text="保留">
      <formula>NOT(ISERROR(SEARCH("保留",A4)))</formula>
    </cfRule>
    <cfRule type="containsText" dxfId="170" priority="242" operator="containsText" text="進行中">
      <formula>NOT(ISERROR(SEARCH("進行中",A4)))</formula>
    </cfRule>
    <cfRule type="containsText" dxfId="169" priority="243" operator="containsText" text="完了">
      <formula>NOT(ISERROR(SEARCH("完了",A4)))</formula>
    </cfRule>
  </conditionalFormatting>
  <dataValidations count="2">
    <dataValidation imeMode="off" allowBlank="1" showInputMessage="1" showErrorMessage="1" sqref="G1 V1 Y2 O1:O1048576 L1:M1048576 V3:W1048576 T1:T1048576 Q1:R1048576 B1:B1048576 D1:D1048576 E1:E1048576 F1:F1048576 H1:H1048576 J1:J1048576" xr:uid="{3BDF0F78-56BF-464C-B787-3F5C2B2A4505}"/>
    <dataValidation imeMode="on" allowBlank="1" showInputMessage="1" showErrorMessage="1" sqref="A2 Y1 X3:Y1048576 K1:K1048576 S1:S1048576 U1:U1048576 I1:I1048576 Z1:Z1048576 P1:P1048576 C1:C1048576 N1:N1048576 G2:G1048576" xr:uid="{FDAB4957-10BD-4AAE-88D4-B4A6AA1D6B61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65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AFCC3D-357E-4C91-A44C-8F98B638010E}">
          <x14:formula1>
            <xm:f>タスク!$B$3:$B$14</xm:f>
          </x14:formula1>
          <xm:sqref>A4:A1048576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0630-612D-44EB-B829-2C63553854EF}">
  <sheetPr codeName="Sheet3">
    <pageSetUpPr fitToPage="1"/>
  </sheetPr>
  <dimension ref="A1:M55"/>
  <sheetViews>
    <sheetView zoomScale="110" zoomScaleNormal="110" workbookViewId="0">
      <pane ySplit="3" topLeftCell="A4" activePane="bottomLeft" state="frozen"/>
      <selection activeCell="G1" sqref="G1"/>
      <selection pane="bottomLeft" activeCell="A27" sqref="A4:XFD27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677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D2" s="7"/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29</v>
      </c>
      <c r="D4" s="12">
        <v>16100016</v>
      </c>
      <c r="E4" s="4" t="s">
        <v>30</v>
      </c>
      <c r="F4" s="64" t="s">
        <v>31</v>
      </c>
      <c r="G4" s="4" t="s">
        <v>32</v>
      </c>
      <c r="H4" s="10"/>
      <c r="I4" s="3" t="s">
        <v>33</v>
      </c>
      <c r="J4" s="1">
        <v>44903</v>
      </c>
      <c r="K4" s="3" t="s">
        <v>34</v>
      </c>
    </row>
    <row r="5" spans="1:13" hidden="1">
      <c r="A5" s="17" t="s">
        <v>28</v>
      </c>
      <c r="B5" s="3">
        <v>2</v>
      </c>
      <c r="C5" s="4" t="s">
        <v>29</v>
      </c>
      <c r="D5" s="12">
        <v>16100017</v>
      </c>
      <c r="E5" s="4" t="s">
        <v>35</v>
      </c>
      <c r="F5" s="65" t="s">
        <v>31</v>
      </c>
      <c r="G5" s="4" t="s">
        <v>32</v>
      </c>
      <c r="H5" s="10"/>
      <c r="I5" s="3" t="s">
        <v>36</v>
      </c>
      <c r="J5" s="1">
        <v>44937</v>
      </c>
      <c r="K5" s="3" t="s">
        <v>34</v>
      </c>
    </row>
    <row r="6" spans="1:13" hidden="1">
      <c r="A6" s="17" t="s">
        <v>28</v>
      </c>
      <c r="B6" s="3">
        <v>3</v>
      </c>
      <c r="C6" s="4" t="s">
        <v>29</v>
      </c>
      <c r="D6" s="12">
        <v>16100018</v>
      </c>
      <c r="E6" s="4" t="s">
        <v>37</v>
      </c>
      <c r="F6" s="65" t="s">
        <v>31</v>
      </c>
      <c r="G6" s="4" t="s">
        <v>32</v>
      </c>
      <c r="H6" s="10"/>
      <c r="I6" s="3" t="s">
        <v>38</v>
      </c>
      <c r="J6" s="1">
        <v>44966</v>
      </c>
      <c r="K6" s="3" t="s">
        <v>34</v>
      </c>
    </row>
    <row r="7" spans="1:13" hidden="1">
      <c r="A7" s="17" t="s">
        <v>28</v>
      </c>
      <c r="B7" s="3">
        <v>4</v>
      </c>
      <c r="C7" s="4" t="s">
        <v>29</v>
      </c>
      <c r="D7" s="12">
        <v>16100019</v>
      </c>
      <c r="E7" s="4" t="s">
        <v>39</v>
      </c>
      <c r="F7" s="65" t="s">
        <v>31</v>
      </c>
      <c r="G7" s="4" t="s">
        <v>32</v>
      </c>
      <c r="H7" s="10"/>
      <c r="I7" s="3" t="s">
        <v>40</v>
      </c>
      <c r="J7" s="1">
        <v>44999</v>
      </c>
      <c r="K7" s="3" t="s">
        <v>34</v>
      </c>
    </row>
    <row r="8" spans="1:13" hidden="1">
      <c r="A8" s="17" t="s">
        <v>28</v>
      </c>
      <c r="B8" s="3">
        <v>5</v>
      </c>
      <c r="C8" s="4" t="s">
        <v>29</v>
      </c>
      <c r="D8" s="12">
        <v>16100020</v>
      </c>
      <c r="E8" s="4"/>
      <c r="F8" s="65" t="s">
        <v>31</v>
      </c>
      <c r="G8" s="4" t="s">
        <v>32</v>
      </c>
      <c r="H8" s="10"/>
      <c r="I8" s="3" t="s">
        <v>41</v>
      </c>
      <c r="J8" s="1">
        <v>45023</v>
      </c>
      <c r="K8" s="3" t="s">
        <v>34</v>
      </c>
    </row>
    <row r="9" spans="1:13" hidden="1">
      <c r="A9" s="17" t="s">
        <v>28</v>
      </c>
      <c r="B9" s="3">
        <v>6</v>
      </c>
      <c r="C9" s="4" t="s">
        <v>29</v>
      </c>
      <c r="D9" s="12">
        <v>16100021</v>
      </c>
      <c r="E9" s="4"/>
      <c r="F9" s="65" t="s">
        <v>31</v>
      </c>
      <c r="G9" s="4" t="s">
        <v>32</v>
      </c>
      <c r="H9" s="10"/>
      <c r="I9" s="3" t="s">
        <v>42</v>
      </c>
      <c r="J9" s="1">
        <v>45063</v>
      </c>
      <c r="K9" s="3" t="s">
        <v>34</v>
      </c>
    </row>
    <row r="10" spans="1:13" hidden="1">
      <c r="A10" s="17" t="s">
        <v>28</v>
      </c>
      <c r="B10" s="3">
        <v>7</v>
      </c>
      <c r="C10" s="4" t="s">
        <v>29</v>
      </c>
      <c r="D10" s="12">
        <v>16100022</v>
      </c>
      <c r="E10" s="4"/>
      <c r="F10" s="65" t="s">
        <v>31</v>
      </c>
      <c r="G10" s="4" t="s">
        <v>32</v>
      </c>
      <c r="H10" s="10"/>
      <c r="I10" s="3" t="s">
        <v>43</v>
      </c>
      <c r="J10" s="1">
        <v>45085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29</v>
      </c>
      <c r="D11" s="12">
        <v>16100023</v>
      </c>
      <c r="E11" s="4"/>
      <c r="F11" s="65" t="s">
        <v>31</v>
      </c>
      <c r="G11" s="4" t="s">
        <v>32</v>
      </c>
      <c r="H11" s="10"/>
      <c r="I11" s="3" t="s">
        <v>45</v>
      </c>
      <c r="J11" s="1">
        <v>45112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29</v>
      </c>
      <c r="D12" s="12">
        <v>16100024</v>
      </c>
      <c r="E12" s="4"/>
      <c r="F12" s="65" t="s">
        <v>31</v>
      </c>
      <c r="G12" s="4" t="s">
        <v>32</v>
      </c>
      <c r="H12" s="10"/>
      <c r="I12" s="3" t="s">
        <v>46</v>
      </c>
      <c r="J12" s="1">
        <v>45148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29</v>
      </c>
      <c r="D13" s="12">
        <v>16100025</v>
      </c>
      <c r="E13" s="4"/>
      <c r="F13" s="65" t="s">
        <v>31</v>
      </c>
      <c r="G13" s="4" t="s">
        <v>32</v>
      </c>
      <c r="H13" s="10"/>
      <c r="I13" s="3" t="s">
        <v>47</v>
      </c>
      <c r="J13" s="144">
        <v>45183</v>
      </c>
      <c r="K13" s="3" t="s">
        <v>477</v>
      </c>
    </row>
    <row r="14" spans="1:13" hidden="1">
      <c r="A14" s="17" t="s">
        <v>28</v>
      </c>
      <c r="B14" s="3">
        <v>11</v>
      </c>
      <c r="C14" s="4" t="s">
        <v>29</v>
      </c>
      <c r="D14" s="12">
        <v>16100026</v>
      </c>
      <c r="E14" s="4"/>
      <c r="F14" s="65" t="s">
        <v>31</v>
      </c>
      <c r="G14" s="4" t="s">
        <v>32</v>
      </c>
      <c r="H14" s="10"/>
      <c r="I14" s="3" t="s">
        <v>48</v>
      </c>
      <c r="J14" s="144">
        <v>45210</v>
      </c>
      <c r="K14" s="3" t="s">
        <v>477</v>
      </c>
    </row>
    <row r="15" spans="1:13" hidden="1">
      <c r="A15" s="17" t="s">
        <v>28</v>
      </c>
      <c r="B15" s="3">
        <v>12</v>
      </c>
      <c r="C15" s="4" t="s">
        <v>29</v>
      </c>
      <c r="D15" s="12">
        <v>16100027</v>
      </c>
      <c r="E15" s="4"/>
      <c r="F15" s="65" t="s">
        <v>31</v>
      </c>
      <c r="G15" s="4" t="s">
        <v>32</v>
      </c>
      <c r="H15" s="10"/>
      <c r="I15" s="3" t="s">
        <v>49</v>
      </c>
      <c r="J15" s="144">
        <v>45243</v>
      </c>
      <c r="K15" s="3" t="s">
        <v>477</v>
      </c>
    </row>
    <row r="16" spans="1:13" hidden="1">
      <c r="A16" s="17" t="s">
        <v>44</v>
      </c>
      <c r="B16" s="3">
        <v>13</v>
      </c>
      <c r="C16" s="4" t="s">
        <v>29</v>
      </c>
      <c r="D16" s="12">
        <v>16100028</v>
      </c>
      <c r="E16" s="4"/>
      <c r="F16" s="65" t="s">
        <v>31</v>
      </c>
      <c r="G16" s="4" t="s">
        <v>32</v>
      </c>
      <c r="H16" s="10"/>
      <c r="I16" s="3" t="s">
        <v>50</v>
      </c>
      <c r="J16" s="144">
        <v>45266</v>
      </c>
      <c r="K16" s="3" t="s">
        <v>477</v>
      </c>
      <c r="L16" s="4"/>
    </row>
    <row r="17" spans="1:12" hidden="1">
      <c r="A17" s="3"/>
      <c r="B17" s="3">
        <v>14</v>
      </c>
      <c r="C17" s="4" t="s">
        <v>29</v>
      </c>
      <c r="D17" s="3">
        <v>16100029</v>
      </c>
      <c r="E17" s="4"/>
      <c r="F17" s="65" t="s">
        <v>31</v>
      </c>
      <c r="G17" s="4" t="s">
        <v>32</v>
      </c>
      <c r="H17" s="10"/>
      <c r="I17" s="3" t="s">
        <v>518</v>
      </c>
      <c r="J17" s="144">
        <v>45309</v>
      </c>
      <c r="K17" s="3" t="s">
        <v>477</v>
      </c>
      <c r="L17" s="4"/>
    </row>
    <row r="18" spans="1:12" hidden="1">
      <c r="A18" s="3"/>
      <c r="B18" s="3">
        <v>15</v>
      </c>
      <c r="C18" s="4" t="s">
        <v>29</v>
      </c>
      <c r="D18" s="12">
        <v>16100030</v>
      </c>
      <c r="E18" s="4"/>
      <c r="F18" s="65" t="s">
        <v>31</v>
      </c>
      <c r="G18" s="4" t="s">
        <v>32</v>
      </c>
      <c r="H18" s="10"/>
      <c r="I18" s="3" t="s">
        <v>217</v>
      </c>
      <c r="J18" s="144">
        <v>45328</v>
      </c>
      <c r="K18" s="3" t="s">
        <v>477</v>
      </c>
      <c r="L18" s="4"/>
    </row>
    <row r="19" spans="1:12" hidden="1">
      <c r="A19" s="3"/>
      <c r="B19" s="3">
        <v>16</v>
      </c>
      <c r="C19" s="4" t="s">
        <v>29</v>
      </c>
      <c r="D19" s="3">
        <v>16100031</v>
      </c>
      <c r="E19" s="4"/>
      <c r="F19" s="65" t="s">
        <v>31</v>
      </c>
      <c r="G19" s="4" t="s">
        <v>32</v>
      </c>
      <c r="H19" s="10"/>
      <c r="I19" s="3" t="s">
        <v>531</v>
      </c>
      <c r="J19" s="144">
        <v>45364</v>
      </c>
      <c r="K19" s="3" t="s">
        <v>477</v>
      </c>
      <c r="L19" s="4"/>
    </row>
    <row r="20" spans="1:12" hidden="1">
      <c r="A20" s="3"/>
      <c r="B20" s="3">
        <v>17</v>
      </c>
      <c r="C20" s="4" t="s">
        <v>29</v>
      </c>
      <c r="D20" s="12">
        <v>16100032</v>
      </c>
      <c r="E20" s="4"/>
      <c r="F20" s="65" t="s">
        <v>31</v>
      </c>
      <c r="G20" s="4" t="s">
        <v>32</v>
      </c>
      <c r="H20" s="10"/>
      <c r="I20" s="3" t="s">
        <v>562</v>
      </c>
      <c r="J20" s="144">
        <v>45390</v>
      </c>
      <c r="K20" s="3" t="s">
        <v>477</v>
      </c>
      <c r="L20" s="4"/>
    </row>
    <row r="21" spans="1:12" hidden="1">
      <c r="A21" s="3"/>
      <c r="B21" s="3">
        <v>18</v>
      </c>
      <c r="C21" s="4" t="s">
        <v>29</v>
      </c>
      <c r="D21" s="3">
        <v>16100033</v>
      </c>
      <c r="E21" s="4"/>
      <c r="F21" s="65" t="s">
        <v>31</v>
      </c>
      <c r="G21" s="4" t="s">
        <v>32</v>
      </c>
      <c r="H21" s="10"/>
      <c r="I21" s="3" t="s">
        <v>156</v>
      </c>
      <c r="J21" s="144">
        <v>45422</v>
      </c>
      <c r="K21" s="3" t="s">
        <v>477</v>
      </c>
      <c r="L21" s="4"/>
    </row>
    <row r="22" spans="1:12" hidden="1">
      <c r="A22" s="3"/>
      <c r="B22" s="3">
        <v>19</v>
      </c>
      <c r="C22" s="4" t="s">
        <v>29</v>
      </c>
      <c r="D22" s="12">
        <v>16100034</v>
      </c>
      <c r="E22" s="4"/>
      <c r="F22" s="65" t="s">
        <v>31</v>
      </c>
      <c r="G22" s="4" t="s">
        <v>32</v>
      </c>
      <c r="H22" s="10"/>
      <c r="I22" s="3" t="s">
        <v>635</v>
      </c>
      <c r="J22" s="144">
        <v>45453</v>
      </c>
      <c r="K22" s="3" t="s">
        <v>477</v>
      </c>
      <c r="L22" s="4"/>
    </row>
    <row r="23" spans="1:12" hidden="1">
      <c r="A23" s="3"/>
      <c r="B23" s="3">
        <v>20</v>
      </c>
      <c r="C23" s="4" t="s">
        <v>29</v>
      </c>
      <c r="D23" s="3">
        <v>16100035</v>
      </c>
      <c r="E23" s="4"/>
      <c r="F23" s="65" t="s">
        <v>31</v>
      </c>
      <c r="G23" s="4" t="s">
        <v>32</v>
      </c>
      <c r="H23" s="10"/>
      <c r="I23" s="3" t="s">
        <v>640</v>
      </c>
      <c r="J23" s="144">
        <v>45481</v>
      </c>
      <c r="K23" s="3" t="s">
        <v>477</v>
      </c>
      <c r="L23" s="4"/>
    </row>
    <row r="24" spans="1:12" hidden="1">
      <c r="A24" s="3"/>
      <c r="B24" s="3">
        <v>21</v>
      </c>
      <c r="C24" s="4" t="s">
        <v>29</v>
      </c>
      <c r="D24" s="12">
        <v>16100036</v>
      </c>
      <c r="E24" s="4"/>
      <c r="F24" s="65" t="s">
        <v>31</v>
      </c>
      <c r="G24" s="4" t="s">
        <v>32</v>
      </c>
      <c r="H24" s="10"/>
      <c r="I24" s="3" t="s">
        <v>646</v>
      </c>
      <c r="J24" s="144">
        <v>45510</v>
      </c>
      <c r="K24" s="3" t="s">
        <v>477</v>
      </c>
      <c r="L24" s="4"/>
    </row>
    <row r="25" spans="1:12" hidden="1">
      <c r="A25" s="3"/>
      <c r="B25" s="3">
        <v>22</v>
      </c>
      <c r="C25" s="4" t="s">
        <v>29</v>
      </c>
      <c r="D25" s="3">
        <v>16100037</v>
      </c>
      <c r="E25" s="4"/>
      <c r="F25" s="65" t="s">
        <v>31</v>
      </c>
      <c r="G25" s="4" t="s">
        <v>32</v>
      </c>
      <c r="H25" s="10"/>
      <c r="I25" s="3" t="s">
        <v>481</v>
      </c>
      <c r="J25" s="144">
        <v>45544</v>
      </c>
      <c r="K25" s="3" t="s">
        <v>653</v>
      </c>
      <c r="L25" s="4"/>
    </row>
    <row r="26" spans="1:12" hidden="1">
      <c r="A26" s="3"/>
      <c r="B26" s="3">
        <v>23</v>
      </c>
      <c r="C26" s="4" t="s">
        <v>29</v>
      </c>
      <c r="D26" s="12">
        <v>16100038</v>
      </c>
      <c r="E26" s="4"/>
      <c r="F26" s="65" t="s">
        <v>31</v>
      </c>
      <c r="G26" s="4" t="s">
        <v>32</v>
      </c>
      <c r="H26" s="10"/>
      <c r="I26" s="3" t="s">
        <v>661</v>
      </c>
      <c r="J26" s="144">
        <v>45583</v>
      </c>
      <c r="K26" s="3" t="s">
        <v>653</v>
      </c>
      <c r="L26" s="4"/>
    </row>
    <row r="27" spans="1:12" hidden="1">
      <c r="A27" s="3"/>
      <c r="B27" s="3">
        <v>24</v>
      </c>
      <c r="C27" s="4" t="s">
        <v>29</v>
      </c>
      <c r="D27" s="3">
        <v>16100039</v>
      </c>
      <c r="E27" s="4"/>
      <c r="F27" s="65" t="s">
        <v>31</v>
      </c>
      <c r="G27" s="4" t="s">
        <v>32</v>
      </c>
      <c r="H27" s="10"/>
      <c r="I27" s="3" t="s">
        <v>493</v>
      </c>
      <c r="J27" s="144">
        <v>45604</v>
      </c>
      <c r="K27" s="3" t="s">
        <v>653</v>
      </c>
      <c r="L27" s="4"/>
    </row>
    <row r="28" spans="1:12" ht="18.600000000000001" thickTop="1">
      <c r="A28" s="3"/>
      <c r="B28" s="3">
        <v>25</v>
      </c>
      <c r="C28" s="4" t="s">
        <v>29</v>
      </c>
      <c r="D28" s="12">
        <v>16100040</v>
      </c>
      <c r="E28" s="4"/>
      <c r="F28" s="65" t="s">
        <v>31</v>
      </c>
      <c r="G28" s="4" t="s">
        <v>32</v>
      </c>
      <c r="H28" s="10"/>
      <c r="I28" s="3" t="s">
        <v>33</v>
      </c>
      <c r="J28" s="144">
        <v>45997</v>
      </c>
      <c r="K28" s="3" t="s">
        <v>653</v>
      </c>
      <c r="L28" s="4"/>
    </row>
    <row r="29" spans="1:12">
      <c r="A29" s="3"/>
      <c r="B29" s="3">
        <v>26</v>
      </c>
      <c r="C29" s="4" t="s">
        <v>29</v>
      </c>
      <c r="D29" s="3">
        <v>16100041</v>
      </c>
      <c r="E29" s="4"/>
      <c r="F29" s="65" t="s">
        <v>31</v>
      </c>
      <c r="G29" s="4" t="s">
        <v>32</v>
      </c>
      <c r="H29" s="10"/>
      <c r="I29" s="3" t="s">
        <v>518</v>
      </c>
      <c r="J29" s="144">
        <v>45672</v>
      </c>
      <c r="K29" s="3" t="s">
        <v>653</v>
      </c>
      <c r="L29" s="4"/>
    </row>
    <row r="30" spans="1:12" hidden="1">
      <c r="B30" s="3">
        <v>27</v>
      </c>
      <c r="C30" s="4"/>
      <c r="D30" s="12">
        <v>16100042</v>
      </c>
      <c r="F30" s="65"/>
      <c r="G30" s="4"/>
      <c r="H30" s="10"/>
      <c r="I30" s="3"/>
      <c r="J30" s="144"/>
      <c r="K30" s="3"/>
    </row>
    <row r="31" spans="1:12">
      <c r="B31" s="3">
        <v>28</v>
      </c>
      <c r="C31" s="4" t="s">
        <v>29</v>
      </c>
      <c r="D31" s="3">
        <v>16100043</v>
      </c>
      <c r="F31" s="65" t="s">
        <v>31</v>
      </c>
      <c r="G31" s="4" t="s">
        <v>32</v>
      </c>
      <c r="H31" s="10"/>
      <c r="I31" s="3" t="s">
        <v>217</v>
      </c>
      <c r="J31" s="144">
        <v>45699</v>
      </c>
      <c r="K31" s="3" t="s">
        <v>653</v>
      </c>
      <c r="L31" s="4"/>
    </row>
    <row r="32" spans="1:12">
      <c r="B32" s="3">
        <v>29</v>
      </c>
      <c r="C32" s="4" t="s">
        <v>29</v>
      </c>
      <c r="D32" s="12">
        <v>16100044</v>
      </c>
      <c r="F32" s="153" t="s">
        <v>31</v>
      </c>
      <c r="G32" s="151" t="s">
        <v>32</v>
      </c>
      <c r="I32" s="150" t="s">
        <v>531</v>
      </c>
      <c r="J32" s="167">
        <v>45735</v>
      </c>
      <c r="K32" s="150" t="s">
        <v>653</v>
      </c>
      <c r="L32" s="4"/>
    </row>
    <row r="33" spans="2:12">
      <c r="B33" s="3">
        <v>30</v>
      </c>
      <c r="C33" s="4" t="s">
        <v>29</v>
      </c>
      <c r="D33" s="3">
        <v>16100045</v>
      </c>
      <c r="F33" s="153" t="s">
        <v>31</v>
      </c>
      <c r="G33" s="151" t="s">
        <v>32</v>
      </c>
      <c r="H33" s="10"/>
      <c r="I33" s="3" t="s">
        <v>748</v>
      </c>
      <c r="J33" s="167">
        <v>45761</v>
      </c>
      <c r="K33" s="150" t="s">
        <v>710</v>
      </c>
      <c r="L33" s="4"/>
    </row>
    <row r="34" spans="2:12">
      <c r="B34" s="3">
        <v>31</v>
      </c>
      <c r="C34" s="4" t="s">
        <v>29</v>
      </c>
      <c r="D34" s="12">
        <v>16100046</v>
      </c>
      <c r="F34" s="153" t="s">
        <v>31</v>
      </c>
      <c r="G34" s="151" t="s">
        <v>32</v>
      </c>
      <c r="H34" s="10"/>
      <c r="I34" s="3" t="s">
        <v>778</v>
      </c>
      <c r="J34" s="162" t="s">
        <v>780</v>
      </c>
      <c r="K34" s="3" t="s">
        <v>779</v>
      </c>
      <c r="L34" s="4"/>
    </row>
    <row r="35" spans="2:12">
      <c r="B35" s="3">
        <v>32</v>
      </c>
      <c r="C35" s="4" t="s">
        <v>29</v>
      </c>
      <c r="D35" s="3">
        <v>16100047</v>
      </c>
      <c r="F35" s="153" t="s">
        <v>31</v>
      </c>
      <c r="G35" s="151" t="s">
        <v>32</v>
      </c>
      <c r="H35" s="10"/>
      <c r="I35" s="3" t="s">
        <v>56</v>
      </c>
      <c r="J35" s="162" t="s">
        <v>792</v>
      </c>
      <c r="K35" s="150" t="s">
        <v>653</v>
      </c>
      <c r="L35" s="4"/>
    </row>
    <row r="36" spans="2:12">
      <c r="B36" s="3">
        <v>33</v>
      </c>
      <c r="C36" s="4" t="s">
        <v>29</v>
      </c>
      <c r="D36" s="12">
        <v>16100048</v>
      </c>
      <c r="F36" s="153" t="s">
        <v>31</v>
      </c>
      <c r="G36" s="151" t="s">
        <v>32</v>
      </c>
      <c r="H36" s="10"/>
      <c r="I36" s="3" t="s">
        <v>84</v>
      </c>
      <c r="J36" s="162" t="s">
        <v>798</v>
      </c>
      <c r="K36" s="150" t="s">
        <v>653</v>
      </c>
      <c r="L36" s="4"/>
    </row>
    <row r="37" spans="2:12">
      <c r="B37" s="3">
        <v>34</v>
      </c>
      <c r="C37" s="4" t="s">
        <v>29</v>
      </c>
      <c r="D37" s="3">
        <v>16100049</v>
      </c>
      <c r="F37" s="153" t="s">
        <v>31</v>
      </c>
      <c r="G37" s="151" t="s">
        <v>32</v>
      </c>
      <c r="H37" s="10"/>
      <c r="I37" s="3" t="s">
        <v>815</v>
      </c>
      <c r="J37" s="162" t="s">
        <v>816</v>
      </c>
      <c r="K37" s="150" t="s">
        <v>653</v>
      </c>
      <c r="L37" s="4"/>
    </row>
    <row r="38" spans="2:12">
      <c r="B38" s="3">
        <v>35</v>
      </c>
      <c r="C38" s="4" t="s">
        <v>29</v>
      </c>
      <c r="D38" s="12">
        <v>16100050</v>
      </c>
      <c r="F38" s="65" t="s">
        <v>826</v>
      </c>
      <c r="G38" s="151" t="s">
        <v>32</v>
      </c>
      <c r="H38" s="10"/>
      <c r="I38" s="3" t="s">
        <v>824</v>
      </c>
      <c r="J38" s="162" t="s">
        <v>825</v>
      </c>
      <c r="K38" s="150" t="s">
        <v>653</v>
      </c>
      <c r="L38" s="4"/>
    </row>
    <row r="39" spans="2:12">
      <c r="B39" s="3">
        <v>36</v>
      </c>
      <c r="C39" s="4" t="s">
        <v>29</v>
      </c>
      <c r="D39" s="3">
        <v>16100051</v>
      </c>
      <c r="F39" s="65" t="s">
        <v>31</v>
      </c>
      <c r="G39" s="151" t="s">
        <v>32</v>
      </c>
      <c r="H39" s="10"/>
      <c r="I39" s="3" t="s">
        <v>833</v>
      </c>
      <c r="J39" s="162" t="s">
        <v>834</v>
      </c>
      <c r="K39" s="150" t="s">
        <v>653</v>
      </c>
      <c r="L39" s="4"/>
    </row>
    <row r="40" spans="2:12">
      <c r="B40" s="3">
        <v>37</v>
      </c>
      <c r="C40" s="4" t="s">
        <v>29</v>
      </c>
      <c r="D40" s="12">
        <v>16100052</v>
      </c>
      <c r="F40" s="65" t="s">
        <v>31</v>
      </c>
      <c r="G40" s="151" t="s">
        <v>32</v>
      </c>
      <c r="H40" s="10"/>
      <c r="I40" s="3" t="s">
        <v>854</v>
      </c>
      <c r="J40" s="162" t="s">
        <v>855</v>
      </c>
      <c r="K40" s="150" t="s">
        <v>653</v>
      </c>
      <c r="L40" s="4"/>
    </row>
    <row r="41" spans="2:12">
      <c r="B41" s="3">
        <v>38</v>
      </c>
      <c r="C41" s="4" t="s">
        <v>29</v>
      </c>
      <c r="D41" s="3">
        <v>16100053</v>
      </c>
      <c r="F41" s="65" t="s">
        <v>31</v>
      </c>
      <c r="G41" s="151" t="s">
        <v>32</v>
      </c>
      <c r="H41" s="10"/>
      <c r="I41" s="3" t="s">
        <v>33</v>
      </c>
      <c r="J41" s="168">
        <v>45996</v>
      </c>
      <c r="K41" s="3" t="s">
        <v>653</v>
      </c>
      <c r="L41" s="4"/>
    </row>
    <row r="42" spans="2:12">
      <c r="B42" s="3">
        <v>39</v>
      </c>
      <c r="C42" s="4"/>
      <c r="D42" s="12">
        <v>16100054</v>
      </c>
      <c r="F42" s="65"/>
      <c r="G42" s="4"/>
      <c r="H42" s="10"/>
      <c r="I42" s="3"/>
      <c r="J42" s="3"/>
      <c r="K42" s="3"/>
      <c r="L42" s="4"/>
    </row>
    <row r="43" spans="2:12">
      <c r="B43" s="3">
        <v>40</v>
      </c>
      <c r="C43" s="4"/>
      <c r="D43" s="3">
        <v>16100055</v>
      </c>
      <c r="F43" s="65"/>
      <c r="G43" s="4"/>
      <c r="H43" s="10"/>
      <c r="I43" s="3"/>
      <c r="J43" s="3"/>
      <c r="K43" s="3"/>
      <c r="L43" s="4"/>
    </row>
    <row r="44" spans="2:12">
      <c r="B44" s="3">
        <v>41</v>
      </c>
      <c r="C44" s="4"/>
      <c r="D44" s="12">
        <v>16100056</v>
      </c>
      <c r="F44" s="65"/>
      <c r="G44" s="4"/>
      <c r="H44" s="10"/>
      <c r="I44" s="3"/>
      <c r="J44" s="3"/>
      <c r="K44" s="3"/>
      <c r="L44" s="4"/>
    </row>
    <row r="45" spans="2:12">
      <c r="B45" s="3">
        <v>42</v>
      </c>
      <c r="C45" s="4"/>
      <c r="D45" s="3">
        <v>16100057</v>
      </c>
      <c r="F45" s="65"/>
      <c r="G45" s="4"/>
      <c r="H45" s="10"/>
      <c r="I45" s="3"/>
      <c r="J45" s="3"/>
      <c r="K45" s="3"/>
      <c r="L45" s="4"/>
    </row>
    <row r="46" spans="2:12">
      <c r="B46" s="3">
        <v>43</v>
      </c>
      <c r="C46" s="4"/>
      <c r="D46" s="12">
        <v>16100058</v>
      </c>
      <c r="F46" s="65"/>
      <c r="G46" s="4"/>
      <c r="H46" s="10"/>
      <c r="I46" s="3"/>
      <c r="J46" s="3"/>
      <c r="K46" s="3"/>
      <c r="L46" s="4"/>
    </row>
    <row r="47" spans="2:12">
      <c r="B47" s="3">
        <v>44</v>
      </c>
      <c r="C47" s="4"/>
      <c r="D47" s="3">
        <v>16100059</v>
      </c>
      <c r="F47" s="65"/>
      <c r="G47" s="4"/>
      <c r="H47" s="10"/>
      <c r="I47" s="3"/>
      <c r="J47" s="3"/>
      <c r="K47" s="3"/>
      <c r="L47" s="4"/>
    </row>
    <row r="48" spans="2:12">
      <c r="B48" s="3">
        <v>45</v>
      </c>
      <c r="C48" s="4"/>
      <c r="D48" s="12">
        <v>16100060</v>
      </c>
      <c r="F48" s="65"/>
      <c r="G48" s="4"/>
      <c r="H48" s="10"/>
      <c r="I48" s="3"/>
      <c r="J48" s="3"/>
      <c r="K48" s="3"/>
      <c r="L48" s="4"/>
    </row>
    <row r="49" spans="2:12">
      <c r="B49" s="3">
        <v>46</v>
      </c>
      <c r="C49" s="4"/>
      <c r="D49" s="3">
        <v>16100061</v>
      </c>
      <c r="F49" s="65"/>
      <c r="G49" s="4"/>
      <c r="H49" s="10"/>
      <c r="I49" s="3"/>
      <c r="J49" s="3"/>
      <c r="K49" s="3"/>
      <c r="L49" s="4"/>
    </row>
    <row r="50" spans="2:12">
      <c r="B50" s="3">
        <v>47</v>
      </c>
      <c r="C50" s="4"/>
      <c r="D50" s="12">
        <v>16100062</v>
      </c>
      <c r="F50" s="65"/>
      <c r="G50" s="4"/>
      <c r="H50" s="10"/>
      <c r="I50" s="3"/>
      <c r="J50" s="3"/>
      <c r="K50" s="3"/>
      <c r="L50" s="4"/>
    </row>
    <row r="51" spans="2:12">
      <c r="B51" s="3">
        <v>48</v>
      </c>
      <c r="C51" s="4"/>
      <c r="D51" s="3">
        <v>16100063</v>
      </c>
      <c r="F51" s="65"/>
      <c r="G51" s="4"/>
      <c r="H51" s="10"/>
      <c r="I51" s="3"/>
      <c r="J51" s="3"/>
      <c r="K51" s="3"/>
      <c r="L51" s="4"/>
    </row>
    <row r="52" spans="2:12">
      <c r="B52" s="3">
        <v>49</v>
      </c>
      <c r="C52" s="4"/>
      <c r="D52" s="12">
        <v>16100064</v>
      </c>
      <c r="F52" s="65"/>
      <c r="G52" s="4"/>
      <c r="H52" s="10"/>
      <c r="I52" s="3"/>
      <c r="J52" s="3"/>
      <c r="K52" s="3"/>
      <c r="L52" s="4"/>
    </row>
    <row r="53" spans="2:12">
      <c r="B53" s="3">
        <v>50</v>
      </c>
      <c r="C53" s="4"/>
      <c r="D53" s="3">
        <v>16100065</v>
      </c>
      <c r="F53" s="65"/>
      <c r="G53" s="4"/>
      <c r="H53" s="10"/>
      <c r="I53" s="3"/>
      <c r="J53" s="3"/>
      <c r="K53" s="3"/>
      <c r="L53" s="4"/>
    </row>
    <row r="54" spans="2:12">
      <c r="B54" s="3">
        <v>51</v>
      </c>
      <c r="C54" s="4"/>
      <c r="D54" s="12">
        <v>16100066</v>
      </c>
      <c r="F54" s="65"/>
      <c r="G54" s="4"/>
      <c r="H54" s="10"/>
      <c r="I54" s="3"/>
      <c r="J54" s="3"/>
      <c r="K54" s="3"/>
      <c r="L54" s="4"/>
    </row>
    <row r="55" spans="2:12">
      <c r="B55" s="3">
        <v>52</v>
      </c>
      <c r="C55" s="4"/>
      <c r="D55" s="3">
        <v>16100067</v>
      </c>
      <c r="F55" s="65"/>
      <c r="G55" s="4"/>
      <c r="H55" s="10"/>
      <c r="I55" s="3"/>
      <c r="J55" s="3"/>
      <c r="K55" s="3"/>
      <c r="L55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68" priority="1" operator="containsText" text="見積！">
      <formula>NOT(ISERROR(SEARCH("見積！",A1)))</formula>
    </cfRule>
  </conditionalFormatting>
  <conditionalFormatting sqref="A4:A1048576">
    <cfRule type="containsText" dxfId="167" priority="4" operator="containsText" text="着手">
      <formula>NOT(ISERROR(SEARCH("着手",A4)))</formula>
    </cfRule>
    <cfRule type="containsText" dxfId="166" priority="5" operator="containsText" text="見積完了">
      <formula>NOT(ISERROR(SEARCH("見積完了",A4)))</formula>
    </cfRule>
    <cfRule type="containsText" dxfId="165" priority="6" operator="containsText" text="中止">
      <formula>NOT(ISERROR(SEARCH("中止",A4)))</formula>
    </cfRule>
    <cfRule type="containsText" dxfId="164" priority="7" operator="containsText" text="保留">
      <formula>NOT(ISERROR(SEARCH("保留",A4)))</formula>
    </cfRule>
    <cfRule type="containsText" dxfId="163" priority="8" operator="containsText" text="進行中">
      <formula>NOT(ISERROR(SEARCH("進行中",A4)))</formula>
    </cfRule>
    <cfRule type="containsText" dxfId="162" priority="9" operator="containsText" text="完了">
      <formula>NOT(ISERROR(SEARCH("完了",A4)))</formula>
    </cfRule>
  </conditionalFormatting>
  <dataValidations count="2">
    <dataValidation imeMode="off" allowBlank="1" showInputMessage="1" showErrorMessage="1" sqref="G1 D1:F3 D4:E4 B1:B1048576 J1:J1048576 D5:F1048576 H1:H1048576" xr:uid="{19A8040A-4B0E-4C55-8983-737D4E4DDC88}"/>
    <dataValidation imeMode="on" allowBlank="1" showInputMessage="1" showErrorMessage="1" sqref="A2 C1:C1048576 I1:I1048576 K1:L1048576 G2:G1048576" xr:uid="{7D38D6E1-8B95-4C6B-AAEE-BEC322AA0C4B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D3962A-AC00-41F5-8EAC-0AA3A03C319C}">
          <x14:formula1>
            <xm:f>タスク!$B$3:$B$14</xm:f>
          </x14:formula1>
          <xm:sqref>A4:A1048576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6FF6-B76D-4538-82E3-615A3770D8FB}">
  <sheetPr codeName="Sheet4">
    <pageSetUpPr fitToPage="1"/>
  </sheetPr>
  <dimension ref="A1:M16"/>
  <sheetViews>
    <sheetView zoomScaleNormal="100" workbookViewId="0">
      <pane ySplit="3" topLeftCell="A4" activePane="bottomLeft" state="frozen"/>
      <selection activeCell="G1" sqref="G1"/>
      <selection pane="bottomLeft" activeCell="H11" sqref="H11"/>
    </sheetView>
  </sheetViews>
  <sheetFormatPr defaultColWidth="8.59765625" defaultRowHeight="18" customHeight="1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8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" customHeight="1" thickTop="1">
      <c r="A4" s="17" t="s">
        <v>28</v>
      </c>
      <c r="B4" s="3">
        <v>1</v>
      </c>
      <c r="C4" s="4" t="s">
        <v>51</v>
      </c>
      <c r="D4" s="12" t="s">
        <v>52</v>
      </c>
      <c r="E4" s="4"/>
      <c r="F4" s="65">
        <v>9591</v>
      </c>
      <c r="G4" s="4" t="s">
        <v>53</v>
      </c>
      <c r="H4" s="10"/>
      <c r="I4" s="3" t="s">
        <v>54</v>
      </c>
      <c r="J4" s="1">
        <v>45078</v>
      </c>
      <c r="K4" s="3" t="s">
        <v>34</v>
      </c>
    </row>
    <row r="5" spans="1:13" ht="18" customHeight="1">
      <c r="A5" s="17" t="s">
        <v>28</v>
      </c>
      <c r="B5" s="3">
        <v>2</v>
      </c>
      <c r="C5" s="4" t="s">
        <v>51</v>
      </c>
      <c r="D5" s="12" t="s">
        <v>55</v>
      </c>
      <c r="E5" s="4"/>
      <c r="F5" s="65">
        <v>9787</v>
      </c>
      <c r="G5" s="4" t="s">
        <v>53</v>
      </c>
      <c r="H5" s="10"/>
      <c r="I5" s="3" t="s">
        <v>56</v>
      </c>
      <c r="J5" s="1">
        <v>45103</v>
      </c>
      <c r="K5" s="3" t="s">
        <v>34</v>
      </c>
    </row>
    <row r="6" spans="1:13" ht="18" customHeight="1">
      <c r="A6" s="17" t="s">
        <v>44</v>
      </c>
      <c r="B6" s="3">
        <v>3</v>
      </c>
      <c r="C6" s="4" t="s">
        <v>51</v>
      </c>
      <c r="D6" s="12" t="s">
        <v>57</v>
      </c>
      <c r="E6" s="4"/>
      <c r="F6" s="65">
        <v>10172</v>
      </c>
      <c r="G6" s="4" t="s">
        <v>53</v>
      </c>
      <c r="H6" s="10"/>
      <c r="I6" s="3" t="s">
        <v>45</v>
      </c>
      <c r="J6" s="1">
        <v>45128</v>
      </c>
      <c r="K6" s="3" t="s">
        <v>34</v>
      </c>
    </row>
    <row r="7" spans="1:13" ht="18" customHeight="1">
      <c r="A7" s="17"/>
      <c r="B7" s="3">
        <v>4</v>
      </c>
      <c r="C7" s="4"/>
      <c r="D7" s="12" t="s">
        <v>58</v>
      </c>
      <c r="E7" s="4"/>
      <c r="F7" s="65"/>
      <c r="G7" s="4"/>
      <c r="H7" s="10"/>
      <c r="I7" s="3"/>
      <c r="J7" s="1"/>
      <c r="K7" s="3"/>
      <c r="L7" s="4"/>
    </row>
    <row r="8" spans="1:13" ht="18" customHeight="1">
      <c r="A8" s="17"/>
      <c r="B8" s="3">
        <v>5</v>
      </c>
      <c r="C8" s="4"/>
      <c r="D8" s="12" t="s">
        <v>59</v>
      </c>
      <c r="E8" s="4"/>
      <c r="F8" s="65"/>
      <c r="G8" s="4"/>
      <c r="H8" s="10"/>
      <c r="I8" s="3"/>
      <c r="J8" s="1"/>
      <c r="K8" s="3"/>
      <c r="L8" s="4"/>
    </row>
    <row r="9" spans="1:13" ht="18" customHeight="1">
      <c r="A9" s="17"/>
      <c r="B9" s="3">
        <v>6</v>
      </c>
      <c r="C9" s="4"/>
      <c r="D9" s="12" t="s">
        <v>60</v>
      </c>
      <c r="E9" s="4"/>
      <c r="F9" s="65"/>
      <c r="G9" s="4"/>
      <c r="H9" s="10"/>
      <c r="I9" s="3"/>
      <c r="J9" s="1"/>
      <c r="K9" s="3"/>
      <c r="L9" s="4"/>
    </row>
    <row r="10" spans="1:13" ht="18" customHeight="1">
      <c r="A10" s="17"/>
      <c r="B10" s="3">
        <v>7</v>
      </c>
      <c r="C10" s="4"/>
      <c r="D10" s="12" t="s">
        <v>61</v>
      </c>
      <c r="E10" s="4"/>
      <c r="F10" s="65"/>
      <c r="G10" s="4"/>
      <c r="H10" s="10"/>
      <c r="I10" s="3"/>
      <c r="J10" s="1"/>
      <c r="K10" s="3"/>
      <c r="L10" s="4"/>
    </row>
    <row r="11" spans="1:13" ht="18" customHeight="1">
      <c r="A11" s="17"/>
      <c r="B11" s="3">
        <v>8</v>
      </c>
      <c r="C11" s="4"/>
      <c r="D11" s="12" t="s">
        <v>62</v>
      </c>
      <c r="E11" s="4"/>
      <c r="F11" s="65"/>
      <c r="G11" s="4"/>
      <c r="H11" s="10"/>
      <c r="I11" s="3"/>
      <c r="J11" s="1"/>
      <c r="K11" s="3"/>
      <c r="L11" s="4"/>
    </row>
    <row r="12" spans="1:13" ht="18" customHeight="1">
      <c r="A12" s="17"/>
      <c r="B12" s="3">
        <v>9</v>
      </c>
      <c r="C12" s="4"/>
      <c r="D12" s="12" t="s">
        <v>496</v>
      </c>
      <c r="E12" s="4"/>
      <c r="F12" s="65"/>
      <c r="G12" s="4"/>
      <c r="H12" s="10"/>
      <c r="I12" s="3"/>
      <c r="J12" s="1"/>
      <c r="K12" s="3"/>
      <c r="L12" s="4"/>
    </row>
    <row r="13" spans="1:13" ht="18" customHeight="1">
      <c r="A13" s="17"/>
      <c r="B13" s="3">
        <v>10</v>
      </c>
      <c r="C13" s="4"/>
      <c r="D13" s="12" t="s">
        <v>497</v>
      </c>
      <c r="E13" s="4"/>
      <c r="F13" s="65"/>
      <c r="G13" s="4"/>
      <c r="H13" s="10"/>
      <c r="I13" s="3"/>
      <c r="J13" s="1"/>
      <c r="K13" s="3"/>
      <c r="L13" s="4"/>
    </row>
    <row r="14" spans="1:13" ht="18" customHeight="1">
      <c r="A14" s="17"/>
      <c r="B14" s="3">
        <v>11</v>
      </c>
      <c r="C14" s="4"/>
      <c r="D14" s="12" t="s">
        <v>498</v>
      </c>
      <c r="E14" s="4"/>
      <c r="F14" s="65"/>
      <c r="G14" s="4"/>
      <c r="H14" s="10"/>
      <c r="I14" s="3"/>
      <c r="J14" s="1"/>
      <c r="K14" s="3"/>
      <c r="L14" s="4"/>
    </row>
    <row r="15" spans="1:13" ht="18" customHeight="1">
      <c r="A15" s="17"/>
      <c r="B15" s="3">
        <v>12</v>
      </c>
      <c r="C15" s="4"/>
      <c r="D15" s="12" t="s">
        <v>499</v>
      </c>
      <c r="E15" s="4"/>
      <c r="F15" s="65"/>
      <c r="G15" s="4"/>
      <c r="H15" s="10"/>
      <c r="I15" s="3"/>
      <c r="J15" s="1"/>
      <c r="K15" s="3"/>
      <c r="L15" s="4"/>
    </row>
    <row r="16" spans="1:13" ht="18" customHeight="1">
      <c r="A16" s="17"/>
      <c r="B16" s="3">
        <v>13</v>
      </c>
      <c r="C16" s="4"/>
      <c r="D16" s="12" t="s">
        <v>500</v>
      </c>
      <c r="E16" s="4"/>
      <c r="F16" s="65"/>
      <c r="G16" s="4"/>
      <c r="H16" s="10"/>
      <c r="I16" s="3"/>
      <c r="J16" s="1"/>
      <c r="K16" s="3"/>
      <c r="L16" s="4"/>
    </row>
  </sheetData>
  <autoFilter ref="A3:K5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61" priority="1" operator="containsText" text="見積！">
      <formula>NOT(ISERROR(SEARCH("見積！",A1)))</formula>
    </cfRule>
  </conditionalFormatting>
  <conditionalFormatting sqref="A4:A1048576">
    <cfRule type="containsText" dxfId="160" priority="4" operator="containsText" text="着手">
      <formula>NOT(ISERROR(SEARCH("着手",A4)))</formula>
    </cfRule>
    <cfRule type="containsText" dxfId="159" priority="5" operator="containsText" text="見積完了">
      <formula>NOT(ISERROR(SEARCH("見積完了",A4)))</formula>
    </cfRule>
    <cfRule type="containsText" dxfId="158" priority="6" operator="containsText" text="中止">
      <formula>NOT(ISERROR(SEARCH("中止",A4)))</formula>
    </cfRule>
    <cfRule type="containsText" dxfId="157" priority="7" operator="containsText" text="保留">
      <formula>NOT(ISERROR(SEARCH("保留",A4)))</formula>
    </cfRule>
    <cfRule type="containsText" dxfId="156" priority="8" operator="containsText" text="進行中">
      <formula>NOT(ISERROR(SEARCH("進行中",A4)))</formula>
    </cfRule>
    <cfRule type="containsText" dxfId="155" priority="9" operator="containsText" text="完了">
      <formula>NOT(ISERROR(SEARCH("完了",A4)))</formula>
    </cfRule>
  </conditionalFormatting>
  <dataValidations count="2">
    <dataValidation imeMode="off" allowBlank="1" showInputMessage="1" showErrorMessage="1" sqref="G1 J1:J1048576 H1:H1048576 B1:B1048576 D1:F1048576" xr:uid="{E0C5C94E-A4CD-4A13-B021-D39220A02DF1}"/>
    <dataValidation imeMode="on" allowBlank="1" showInputMessage="1" showErrorMessage="1" sqref="A2 I1:I1048576 G2:G1048576 K1:L1048576 C1:C1048576" xr:uid="{3486364F-8ED3-4D6D-AF44-A1ECCDD169FC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ignoredErrors>
    <ignoredError sqref="D4:D1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238475-E06F-41F3-9021-CB70EF352806}">
          <x14:formula1>
            <xm:f>タスク!$B$3:$B$14</xm:f>
          </x14:formula1>
          <xm:sqref>A4:A1048576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0FBB-5A33-4B66-AB5D-5EF39FAFAB70}">
  <sheetPr codeName="Sheet5">
    <pageSetUpPr fitToPage="1"/>
  </sheetPr>
  <dimension ref="A1:M66"/>
  <sheetViews>
    <sheetView zoomScale="130" zoomScaleNormal="130" workbookViewId="0">
      <pane ySplit="3" topLeftCell="A4" activePane="bottomLeft" state="frozen"/>
      <selection activeCell="G1" sqref="G1"/>
      <selection pane="bottomLeft" activeCell="A45" sqref="A4:XFD45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s="8" customFormat="1" ht="18.600000000000001" hidden="1" thickTop="1">
      <c r="A4" s="17" t="s">
        <v>28</v>
      </c>
      <c r="B4" s="3">
        <v>1</v>
      </c>
      <c r="C4" s="4" t="s">
        <v>63</v>
      </c>
      <c r="D4" s="56">
        <v>16108162</v>
      </c>
      <c r="E4" s="4" t="s">
        <v>64</v>
      </c>
      <c r="F4" s="65" t="s">
        <v>65</v>
      </c>
      <c r="G4" s="4" t="s">
        <v>66</v>
      </c>
      <c r="H4" s="10"/>
      <c r="I4" s="3" t="s">
        <v>33</v>
      </c>
      <c r="J4" s="1">
        <v>44923</v>
      </c>
      <c r="K4" s="3" t="s">
        <v>34</v>
      </c>
      <c r="L4" s="5"/>
      <c r="M4"/>
    </row>
    <row r="5" spans="1:13" s="8" customFormat="1" hidden="1">
      <c r="A5" s="17" t="s">
        <v>28</v>
      </c>
      <c r="B5" s="3">
        <v>2</v>
      </c>
      <c r="C5" s="4" t="s">
        <v>63</v>
      </c>
      <c r="D5" s="56">
        <v>16108163</v>
      </c>
      <c r="E5" s="4" t="s">
        <v>67</v>
      </c>
      <c r="F5" s="65" t="s">
        <v>68</v>
      </c>
      <c r="G5" s="4" t="s">
        <v>69</v>
      </c>
      <c r="H5" s="10"/>
      <c r="I5" s="3" t="s">
        <v>33</v>
      </c>
      <c r="J5" s="1">
        <v>44923</v>
      </c>
      <c r="K5" s="3" t="s">
        <v>34</v>
      </c>
      <c r="L5" s="5"/>
      <c r="M5"/>
    </row>
    <row r="6" spans="1:13" s="8" customFormat="1" hidden="1">
      <c r="A6" s="17" t="s">
        <v>28</v>
      </c>
      <c r="B6" s="3">
        <v>3</v>
      </c>
      <c r="C6" s="4" t="s">
        <v>63</v>
      </c>
      <c r="D6" s="56">
        <v>16108164</v>
      </c>
      <c r="E6" s="4" t="s">
        <v>70</v>
      </c>
      <c r="F6" s="65" t="s">
        <v>71</v>
      </c>
      <c r="G6" s="4" t="s">
        <v>72</v>
      </c>
      <c r="H6" s="10"/>
      <c r="I6" s="3" t="s">
        <v>33</v>
      </c>
      <c r="J6" s="1">
        <v>44923</v>
      </c>
      <c r="K6" s="3" t="s">
        <v>34</v>
      </c>
      <c r="L6" s="5"/>
      <c r="M6"/>
    </row>
    <row r="7" spans="1:13" s="8" customFormat="1" hidden="1">
      <c r="A7" s="17" t="s">
        <v>28</v>
      </c>
      <c r="B7" s="3">
        <v>4</v>
      </c>
      <c r="C7" s="4" t="s">
        <v>63</v>
      </c>
      <c r="D7" s="56">
        <v>16108165</v>
      </c>
      <c r="E7" s="4" t="s">
        <v>73</v>
      </c>
      <c r="F7" s="65">
        <v>8515</v>
      </c>
      <c r="G7" s="4" t="s">
        <v>66</v>
      </c>
      <c r="H7" s="10"/>
      <c r="I7" s="3" t="s">
        <v>74</v>
      </c>
      <c r="J7" s="1">
        <v>44960</v>
      </c>
      <c r="K7" s="3" t="s">
        <v>34</v>
      </c>
      <c r="L7" s="5"/>
      <c r="M7"/>
    </row>
    <row r="8" spans="1:13" s="8" customFormat="1" hidden="1">
      <c r="A8" s="17" t="s">
        <v>28</v>
      </c>
      <c r="B8" s="3">
        <v>5</v>
      </c>
      <c r="C8" s="4" t="s">
        <v>63</v>
      </c>
      <c r="D8" s="56">
        <v>16108166</v>
      </c>
      <c r="E8" s="4" t="s">
        <v>75</v>
      </c>
      <c r="F8" s="65">
        <v>8516</v>
      </c>
      <c r="G8" s="4" t="s">
        <v>69</v>
      </c>
      <c r="H8" s="10"/>
      <c r="I8" s="3" t="s">
        <v>74</v>
      </c>
      <c r="J8" s="1">
        <v>44965</v>
      </c>
      <c r="K8" s="3" t="s">
        <v>34</v>
      </c>
      <c r="L8" s="5"/>
      <c r="M8"/>
    </row>
    <row r="9" spans="1:13" s="8" customFormat="1" hidden="1">
      <c r="A9" s="17" t="s">
        <v>28</v>
      </c>
      <c r="B9" s="3">
        <v>6</v>
      </c>
      <c r="C9" s="4" t="s">
        <v>63</v>
      </c>
      <c r="D9" s="56">
        <v>16108167</v>
      </c>
      <c r="E9" s="4" t="s">
        <v>76</v>
      </c>
      <c r="F9" s="65">
        <v>8564</v>
      </c>
      <c r="G9" s="4" t="s">
        <v>72</v>
      </c>
      <c r="H9" s="10"/>
      <c r="I9" s="3" t="s">
        <v>74</v>
      </c>
      <c r="J9" s="1">
        <v>44965</v>
      </c>
      <c r="K9" s="3" t="s">
        <v>34</v>
      </c>
      <c r="L9" s="5"/>
      <c r="M9"/>
    </row>
    <row r="10" spans="1:13" s="8" customFormat="1" hidden="1">
      <c r="A10" s="17" t="s">
        <v>28</v>
      </c>
      <c r="B10" s="3">
        <v>7</v>
      </c>
      <c r="C10" s="4" t="s">
        <v>63</v>
      </c>
      <c r="D10" s="56">
        <v>16108168</v>
      </c>
      <c r="E10" s="4" t="s">
        <v>77</v>
      </c>
      <c r="F10" s="65">
        <v>8557</v>
      </c>
      <c r="G10" s="4" t="s">
        <v>78</v>
      </c>
      <c r="H10" s="10"/>
      <c r="I10" s="3" t="s">
        <v>74</v>
      </c>
      <c r="J10" s="1">
        <v>44965</v>
      </c>
      <c r="K10" s="3" t="s">
        <v>34</v>
      </c>
      <c r="L10" s="5"/>
      <c r="M10"/>
    </row>
    <row r="11" spans="1:13" s="8" customFormat="1" hidden="1">
      <c r="A11" s="17" t="s">
        <v>28</v>
      </c>
      <c r="B11" s="3">
        <v>8</v>
      </c>
      <c r="C11" s="4" t="s">
        <v>63</v>
      </c>
      <c r="D11" s="56">
        <v>16108169</v>
      </c>
      <c r="E11" s="4"/>
      <c r="F11" s="65">
        <v>8750</v>
      </c>
      <c r="G11" s="4" t="s">
        <v>66</v>
      </c>
      <c r="H11" s="10"/>
      <c r="I11" s="3" t="s">
        <v>79</v>
      </c>
      <c r="J11" s="1">
        <v>44994</v>
      </c>
      <c r="K11" s="3" t="s">
        <v>34</v>
      </c>
      <c r="L11" s="5"/>
      <c r="M11"/>
    </row>
    <row r="12" spans="1:13" s="8" customFormat="1" hidden="1">
      <c r="A12" s="17" t="s">
        <v>28</v>
      </c>
      <c r="B12" s="3">
        <v>9</v>
      </c>
      <c r="C12" s="4" t="s">
        <v>63</v>
      </c>
      <c r="D12" s="56">
        <v>16108170</v>
      </c>
      <c r="E12" s="4"/>
      <c r="F12" s="65">
        <v>8751</v>
      </c>
      <c r="G12" s="4" t="s">
        <v>69</v>
      </c>
      <c r="H12" s="10"/>
      <c r="I12" s="3" t="s">
        <v>79</v>
      </c>
      <c r="J12" s="1">
        <v>44994</v>
      </c>
      <c r="K12" s="3" t="s">
        <v>34</v>
      </c>
      <c r="L12" s="5"/>
      <c r="M12"/>
    </row>
    <row r="13" spans="1:13" s="8" customFormat="1" hidden="1">
      <c r="A13" s="17" t="s">
        <v>28</v>
      </c>
      <c r="B13" s="3">
        <v>10</v>
      </c>
      <c r="C13" s="4" t="s">
        <v>63</v>
      </c>
      <c r="D13" s="56">
        <v>16108171</v>
      </c>
      <c r="E13" s="4"/>
      <c r="F13" s="65">
        <v>8807</v>
      </c>
      <c r="G13" s="4" t="s">
        <v>72</v>
      </c>
      <c r="H13" s="10"/>
      <c r="I13" s="3" t="s">
        <v>38</v>
      </c>
      <c r="J13" s="1">
        <v>44994</v>
      </c>
      <c r="K13" s="3" t="s">
        <v>34</v>
      </c>
      <c r="L13" s="5"/>
      <c r="M13"/>
    </row>
    <row r="14" spans="1:13" s="8" customFormat="1" hidden="1">
      <c r="A14" s="17" t="s">
        <v>28</v>
      </c>
      <c r="B14" s="3">
        <v>11</v>
      </c>
      <c r="C14" s="4" t="s">
        <v>63</v>
      </c>
      <c r="D14" s="56">
        <v>16108172</v>
      </c>
      <c r="E14" s="4"/>
      <c r="F14" s="65">
        <v>9021</v>
      </c>
      <c r="G14" s="4" t="s">
        <v>69</v>
      </c>
      <c r="H14" s="10"/>
      <c r="I14" s="3" t="s">
        <v>80</v>
      </c>
      <c r="J14" s="1">
        <v>45016</v>
      </c>
      <c r="K14" s="3" t="s">
        <v>34</v>
      </c>
      <c r="L14" s="5"/>
      <c r="M14"/>
    </row>
    <row r="15" spans="1:13" s="8" customFormat="1" hidden="1">
      <c r="A15" s="17" t="s">
        <v>28</v>
      </c>
      <c r="B15" s="3">
        <v>12</v>
      </c>
      <c r="C15" s="4" t="s">
        <v>63</v>
      </c>
      <c r="D15" s="56">
        <v>16108173</v>
      </c>
      <c r="E15" s="4"/>
      <c r="F15" s="65">
        <v>9133</v>
      </c>
      <c r="G15" s="4" t="s">
        <v>81</v>
      </c>
      <c r="H15" s="10"/>
      <c r="I15" s="3" t="s">
        <v>80</v>
      </c>
      <c r="J15" s="1">
        <v>45019</v>
      </c>
      <c r="K15" s="3" t="s">
        <v>34</v>
      </c>
      <c r="L15" s="5"/>
      <c r="M15"/>
    </row>
    <row r="16" spans="1:13" s="8" customFormat="1" hidden="1">
      <c r="A16" s="17" t="s">
        <v>28</v>
      </c>
      <c r="B16" s="3">
        <v>13</v>
      </c>
      <c r="C16" s="4" t="s">
        <v>63</v>
      </c>
      <c r="D16" s="56">
        <v>16108174</v>
      </c>
      <c r="E16" s="4"/>
      <c r="F16" s="65">
        <v>9327</v>
      </c>
      <c r="G16" s="4" t="s">
        <v>69</v>
      </c>
      <c r="H16" s="10"/>
      <c r="I16" s="3" t="s">
        <v>82</v>
      </c>
      <c r="J16" s="1">
        <v>45044</v>
      </c>
      <c r="K16" s="3" t="s">
        <v>34</v>
      </c>
      <c r="L16" s="5"/>
      <c r="M16"/>
    </row>
    <row r="17" spans="1:13" s="8" customFormat="1" hidden="1">
      <c r="A17" s="17" t="s">
        <v>28</v>
      </c>
      <c r="B17" s="3">
        <v>14</v>
      </c>
      <c r="C17" s="4" t="s">
        <v>63</v>
      </c>
      <c r="D17" s="56">
        <v>16108175</v>
      </c>
      <c r="E17" s="4"/>
      <c r="F17" s="65">
        <v>9544</v>
      </c>
      <c r="G17" s="4" t="s">
        <v>69</v>
      </c>
      <c r="H17" s="10"/>
      <c r="I17" s="3" t="s">
        <v>42</v>
      </c>
      <c r="J17" s="1">
        <v>45078</v>
      </c>
      <c r="K17" s="3" t="s">
        <v>34</v>
      </c>
      <c r="L17" s="5"/>
      <c r="M17"/>
    </row>
    <row r="18" spans="1:13" s="8" customFormat="1" hidden="1">
      <c r="A18" s="17" t="s">
        <v>28</v>
      </c>
      <c r="B18" s="3">
        <v>15</v>
      </c>
      <c r="C18" s="4" t="s">
        <v>63</v>
      </c>
      <c r="D18" s="56">
        <v>16108176</v>
      </c>
      <c r="E18" s="4"/>
      <c r="F18" s="65">
        <v>9651</v>
      </c>
      <c r="G18" s="4" t="s">
        <v>69</v>
      </c>
      <c r="H18" s="10"/>
      <c r="I18" s="3" t="s">
        <v>56</v>
      </c>
      <c r="J18" s="1">
        <v>45105</v>
      </c>
      <c r="K18" s="3" t="s">
        <v>34</v>
      </c>
      <c r="L18" s="5"/>
      <c r="M18"/>
    </row>
    <row r="19" spans="1:13" s="8" customFormat="1" hidden="1">
      <c r="A19" s="17" t="s">
        <v>28</v>
      </c>
      <c r="B19" s="3">
        <v>16</v>
      </c>
      <c r="C19" s="4" t="s">
        <v>63</v>
      </c>
      <c r="D19" s="56">
        <v>16108177</v>
      </c>
      <c r="E19" s="4"/>
      <c r="F19" s="65">
        <v>10065</v>
      </c>
      <c r="G19" s="4" t="s">
        <v>83</v>
      </c>
      <c r="H19" s="10"/>
      <c r="I19" s="3" t="s">
        <v>56</v>
      </c>
      <c r="J19" s="1">
        <v>45119</v>
      </c>
      <c r="K19" s="3" t="s">
        <v>34</v>
      </c>
      <c r="L19" s="5"/>
      <c r="M19"/>
    </row>
    <row r="20" spans="1:13" s="8" customFormat="1" hidden="1">
      <c r="A20" s="17" t="s">
        <v>28</v>
      </c>
      <c r="B20" s="3">
        <v>17</v>
      </c>
      <c r="C20" s="4" t="s">
        <v>63</v>
      </c>
      <c r="D20" s="56">
        <v>16108178</v>
      </c>
      <c r="E20" s="4"/>
      <c r="F20" s="65">
        <v>10053</v>
      </c>
      <c r="G20" s="4" t="s">
        <v>69</v>
      </c>
      <c r="H20" s="10"/>
      <c r="I20" s="3" t="s">
        <v>84</v>
      </c>
      <c r="J20" s="1">
        <v>45128</v>
      </c>
      <c r="K20" s="3" t="s">
        <v>34</v>
      </c>
      <c r="L20" s="5"/>
      <c r="M20"/>
    </row>
    <row r="21" spans="1:13" s="8" customFormat="1" hidden="1">
      <c r="A21" s="17" t="s">
        <v>28</v>
      </c>
      <c r="B21" s="3">
        <v>18</v>
      </c>
      <c r="C21" s="4" t="s">
        <v>63</v>
      </c>
      <c r="D21" s="56">
        <v>16108179</v>
      </c>
      <c r="E21" s="4"/>
      <c r="F21" s="65">
        <v>10361</v>
      </c>
      <c r="G21" s="4" t="s">
        <v>69</v>
      </c>
      <c r="H21" s="10"/>
      <c r="I21" s="3" t="s">
        <v>85</v>
      </c>
      <c r="J21" s="1">
        <v>45148</v>
      </c>
      <c r="K21" s="3" t="s">
        <v>34</v>
      </c>
      <c r="L21" s="5"/>
      <c r="M21"/>
    </row>
    <row r="22" spans="1:13" s="8" customFormat="1" hidden="1">
      <c r="A22" s="17" t="s">
        <v>28</v>
      </c>
      <c r="B22" s="3">
        <v>19</v>
      </c>
      <c r="C22" s="4" t="s">
        <v>63</v>
      </c>
      <c r="D22" s="56">
        <v>16108180</v>
      </c>
      <c r="E22" s="4"/>
      <c r="F22" s="65">
        <v>10711</v>
      </c>
      <c r="G22" s="4" t="s">
        <v>69</v>
      </c>
      <c r="H22" s="10"/>
      <c r="I22" s="3" t="s">
        <v>47</v>
      </c>
      <c r="J22" s="1">
        <v>45198</v>
      </c>
      <c r="K22" s="3" t="s">
        <v>477</v>
      </c>
      <c r="L22" s="5"/>
      <c r="M22"/>
    </row>
    <row r="23" spans="1:13" s="8" customFormat="1" hidden="1">
      <c r="A23" s="17" t="s">
        <v>28</v>
      </c>
      <c r="B23" s="3">
        <v>20</v>
      </c>
      <c r="C23" s="4" t="s">
        <v>63</v>
      </c>
      <c r="D23" s="56">
        <v>16108181</v>
      </c>
      <c r="E23" s="4"/>
      <c r="F23" s="65">
        <v>11077</v>
      </c>
      <c r="G23" s="4" t="s">
        <v>69</v>
      </c>
      <c r="H23" s="10"/>
      <c r="I23" s="3" t="s">
        <v>48</v>
      </c>
      <c r="J23" s="1">
        <v>45225</v>
      </c>
      <c r="K23" s="3" t="s">
        <v>477</v>
      </c>
      <c r="L23" s="5"/>
      <c r="M23"/>
    </row>
    <row r="24" spans="1:13" s="8" customFormat="1" hidden="1">
      <c r="A24" s="17" t="s">
        <v>28</v>
      </c>
      <c r="B24" s="3">
        <v>21</v>
      </c>
      <c r="C24" s="4" t="s">
        <v>63</v>
      </c>
      <c r="D24" s="56">
        <v>16108182</v>
      </c>
      <c r="E24" s="4"/>
      <c r="F24" s="65">
        <v>11332</v>
      </c>
      <c r="G24" s="4" t="s">
        <v>69</v>
      </c>
      <c r="H24" s="10"/>
      <c r="I24" s="3" t="s">
        <v>49</v>
      </c>
      <c r="J24" s="1">
        <v>45252</v>
      </c>
      <c r="K24" s="3" t="s">
        <v>490</v>
      </c>
      <c r="L24" s="5"/>
      <c r="M24"/>
    </row>
    <row r="25" spans="1:13" s="8" customFormat="1" hidden="1">
      <c r="A25" s="17"/>
      <c r="B25" s="3">
        <v>22</v>
      </c>
      <c r="C25" s="4" t="s">
        <v>63</v>
      </c>
      <c r="D25" s="56">
        <v>16108183</v>
      </c>
      <c r="E25" s="4"/>
      <c r="F25" s="65" t="s">
        <v>502</v>
      </c>
      <c r="G25" s="4" t="s">
        <v>69</v>
      </c>
      <c r="H25" s="10"/>
      <c r="I25" s="3" t="s">
        <v>33</v>
      </c>
      <c r="J25" s="1">
        <v>45279</v>
      </c>
      <c r="K25" s="3" t="s">
        <v>490</v>
      </c>
      <c r="L25" s="4"/>
      <c r="M25"/>
    </row>
    <row r="26" spans="1:13" s="8" customFormat="1" hidden="1">
      <c r="A26" s="17"/>
      <c r="B26" s="3">
        <v>23</v>
      </c>
      <c r="C26" s="4" t="s">
        <v>63</v>
      </c>
      <c r="D26" s="56">
        <v>16108184</v>
      </c>
      <c r="E26" s="4"/>
      <c r="F26" s="65">
        <v>11871</v>
      </c>
      <c r="G26" s="4" t="s">
        <v>69</v>
      </c>
      <c r="H26" s="10"/>
      <c r="I26" s="3" t="s">
        <v>518</v>
      </c>
      <c r="J26" s="1">
        <v>45310</v>
      </c>
      <c r="K26" s="3" t="s">
        <v>490</v>
      </c>
      <c r="L26" s="4"/>
      <c r="M26"/>
    </row>
    <row r="27" spans="1:13" s="8" customFormat="1" hidden="1">
      <c r="A27" s="17"/>
      <c r="B27" s="3">
        <v>24</v>
      </c>
      <c r="C27" s="4" t="s">
        <v>63</v>
      </c>
      <c r="D27" s="56">
        <v>16108185</v>
      </c>
      <c r="E27" s="4"/>
      <c r="F27" s="65">
        <v>12017</v>
      </c>
      <c r="G27" s="4" t="s">
        <v>69</v>
      </c>
      <c r="H27" s="10"/>
      <c r="I27" s="3" t="s">
        <v>79</v>
      </c>
      <c r="J27" s="1">
        <v>45337</v>
      </c>
      <c r="K27" s="3" t="s">
        <v>490</v>
      </c>
      <c r="L27" s="4"/>
      <c r="M27"/>
    </row>
    <row r="28" spans="1:13" s="8" customFormat="1" hidden="1">
      <c r="A28" s="17"/>
      <c r="B28" s="3">
        <v>25</v>
      </c>
      <c r="C28" s="4" t="s">
        <v>63</v>
      </c>
      <c r="D28" s="56">
        <v>16108186</v>
      </c>
      <c r="E28" s="4"/>
      <c r="F28" s="65" t="s">
        <v>533</v>
      </c>
      <c r="G28" s="4" t="s">
        <v>534</v>
      </c>
      <c r="H28" s="10"/>
      <c r="I28" s="3" t="s">
        <v>535</v>
      </c>
      <c r="J28" s="1">
        <v>45377</v>
      </c>
      <c r="K28" s="3" t="s">
        <v>490</v>
      </c>
      <c r="L28" s="4"/>
      <c r="M28"/>
    </row>
    <row r="29" spans="1:13" s="8" customFormat="1" hidden="1">
      <c r="A29" s="149"/>
      <c r="B29" s="3">
        <v>26</v>
      </c>
      <c r="C29" s="4" t="s">
        <v>63</v>
      </c>
      <c r="D29" s="56">
        <v>16108187</v>
      </c>
      <c r="E29" s="151"/>
      <c r="F29" s="153" t="s">
        <v>536</v>
      </c>
      <c r="G29" s="151" t="s">
        <v>66</v>
      </c>
      <c r="H29" s="154"/>
      <c r="I29" s="150" t="s">
        <v>535</v>
      </c>
      <c r="J29" s="1">
        <v>45377</v>
      </c>
      <c r="K29" s="3" t="s">
        <v>490</v>
      </c>
      <c r="L29" s="4"/>
      <c r="M29"/>
    </row>
    <row r="30" spans="1:13" hidden="1">
      <c r="A30" s="3"/>
      <c r="B30" s="3">
        <v>27</v>
      </c>
      <c r="C30" s="4" t="s">
        <v>63</v>
      </c>
      <c r="D30" s="56">
        <v>16108188</v>
      </c>
      <c r="E30" s="4"/>
      <c r="F30" s="65" t="s">
        <v>570</v>
      </c>
      <c r="G30" s="4" t="s">
        <v>571</v>
      </c>
      <c r="H30" s="10"/>
      <c r="I30" s="3" t="s">
        <v>572</v>
      </c>
      <c r="J30" s="1">
        <v>45401</v>
      </c>
      <c r="K30" s="3" t="s">
        <v>490</v>
      </c>
      <c r="L30" s="4"/>
    </row>
    <row r="31" spans="1:13" hidden="1">
      <c r="A31" s="3"/>
      <c r="B31" s="3">
        <v>28</v>
      </c>
      <c r="C31" s="4" t="s">
        <v>63</v>
      </c>
      <c r="D31" s="56">
        <v>16108189</v>
      </c>
      <c r="E31" s="4"/>
      <c r="F31" s="65" t="s">
        <v>573</v>
      </c>
      <c r="G31" s="151" t="s">
        <v>66</v>
      </c>
      <c r="H31" s="10"/>
      <c r="I31" s="3" t="s">
        <v>572</v>
      </c>
      <c r="J31" s="1">
        <v>45401</v>
      </c>
      <c r="K31" s="3" t="s">
        <v>490</v>
      </c>
      <c r="L31" s="4"/>
    </row>
    <row r="32" spans="1:13" hidden="1">
      <c r="A32" s="3"/>
      <c r="B32" s="3">
        <v>29</v>
      </c>
      <c r="C32" s="4" t="s">
        <v>63</v>
      </c>
      <c r="D32" s="56">
        <v>16108190</v>
      </c>
      <c r="E32" s="4"/>
      <c r="F32" s="65" t="s">
        <v>613</v>
      </c>
      <c r="G32" s="4" t="s">
        <v>571</v>
      </c>
      <c r="H32" s="10"/>
      <c r="I32" s="3" t="s">
        <v>54</v>
      </c>
      <c r="J32" s="1">
        <v>45433</v>
      </c>
      <c r="K32" s="3" t="s">
        <v>490</v>
      </c>
      <c r="L32" s="4"/>
    </row>
    <row r="33" spans="1:12" hidden="1">
      <c r="A33" s="3"/>
      <c r="B33" s="3">
        <v>30</v>
      </c>
      <c r="C33" s="4" t="s">
        <v>63</v>
      </c>
      <c r="D33" s="56">
        <v>16108191</v>
      </c>
      <c r="E33" s="4"/>
      <c r="F33" s="65" t="s">
        <v>614</v>
      </c>
      <c r="G33" s="151" t="s">
        <v>66</v>
      </c>
      <c r="H33" s="10"/>
      <c r="I33" s="3" t="s">
        <v>54</v>
      </c>
      <c r="J33" s="1">
        <v>45435</v>
      </c>
      <c r="K33" s="3" t="s">
        <v>490</v>
      </c>
      <c r="L33" s="4"/>
    </row>
    <row r="34" spans="1:12" hidden="1">
      <c r="A34" s="3"/>
      <c r="B34" s="3">
        <v>31</v>
      </c>
      <c r="C34" s="4" t="s">
        <v>63</v>
      </c>
      <c r="D34" s="56">
        <v>16108192</v>
      </c>
      <c r="E34" s="4"/>
      <c r="F34" s="65">
        <v>13198</v>
      </c>
      <c r="G34" s="151" t="s">
        <v>66</v>
      </c>
      <c r="H34" s="10"/>
      <c r="I34" s="3" t="s">
        <v>56</v>
      </c>
      <c r="J34" s="1">
        <v>45467</v>
      </c>
      <c r="K34" s="3" t="s">
        <v>477</v>
      </c>
      <c r="L34" s="4"/>
    </row>
    <row r="35" spans="1:12" hidden="1">
      <c r="A35" s="3"/>
      <c r="B35" s="3">
        <v>32</v>
      </c>
      <c r="C35" s="4" t="s">
        <v>63</v>
      </c>
      <c r="D35" s="56">
        <v>16108193</v>
      </c>
      <c r="E35" s="4"/>
      <c r="F35" s="65">
        <v>13199</v>
      </c>
      <c r="G35" s="4" t="s">
        <v>571</v>
      </c>
      <c r="H35" s="10"/>
      <c r="I35" s="3" t="s">
        <v>56</v>
      </c>
      <c r="J35" s="1">
        <v>45467</v>
      </c>
      <c r="K35" s="3" t="s">
        <v>477</v>
      </c>
      <c r="L35" s="4"/>
    </row>
    <row r="36" spans="1:12" hidden="1">
      <c r="A36" s="3"/>
      <c r="B36" s="3">
        <v>33</v>
      </c>
      <c r="C36" s="4" t="s">
        <v>63</v>
      </c>
      <c r="D36" s="56">
        <v>16108194</v>
      </c>
      <c r="E36" s="4"/>
      <c r="F36" s="65">
        <v>13581</v>
      </c>
      <c r="G36" s="4" t="s">
        <v>571</v>
      </c>
      <c r="H36" s="10"/>
      <c r="I36" s="3" t="s">
        <v>84</v>
      </c>
      <c r="J36" s="12" t="s">
        <v>642</v>
      </c>
      <c r="K36" s="3" t="s">
        <v>477</v>
      </c>
      <c r="L36" s="4"/>
    </row>
    <row r="37" spans="1:12" hidden="1">
      <c r="A37" s="3"/>
      <c r="B37" s="3">
        <v>34</v>
      </c>
      <c r="C37" s="4" t="s">
        <v>63</v>
      </c>
      <c r="D37" s="56">
        <v>16108195</v>
      </c>
      <c r="E37" s="4"/>
      <c r="F37" s="65">
        <v>13574</v>
      </c>
      <c r="G37" s="151" t="s">
        <v>66</v>
      </c>
      <c r="H37" s="10"/>
      <c r="I37" s="3" t="s">
        <v>84</v>
      </c>
      <c r="J37" s="12" t="s">
        <v>642</v>
      </c>
      <c r="K37" s="3" t="s">
        <v>477</v>
      </c>
      <c r="L37" s="4"/>
    </row>
    <row r="38" spans="1:12" hidden="1">
      <c r="A38" s="3"/>
      <c r="B38" s="3">
        <v>35</v>
      </c>
      <c r="C38" s="4" t="s">
        <v>63</v>
      </c>
      <c r="D38" s="56">
        <v>16108196</v>
      </c>
      <c r="E38" s="4"/>
      <c r="F38" s="65">
        <v>13773</v>
      </c>
      <c r="G38" s="151" t="s">
        <v>66</v>
      </c>
      <c r="H38" s="10"/>
      <c r="I38" s="3" t="s">
        <v>85</v>
      </c>
      <c r="J38" s="156" t="s">
        <v>649</v>
      </c>
      <c r="K38" s="150" t="s">
        <v>477</v>
      </c>
      <c r="L38" s="4"/>
    </row>
    <row r="39" spans="1:12" hidden="1">
      <c r="A39" s="3"/>
      <c r="B39" s="3">
        <v>36</v>
      </c>
      <c r="C39" s="4" t="s">
        <v>63</v>
      </c>
      <c r="D39" s="56">
        <v>16108197</v>
      </c>
      <c r="E39" s="4"/>
      <c r="F39" s="65">
        <v>13774</v>
      </c>
      <c r="G39" s="4" t="s">
        <v>571</v>
      </c>
      <c r="H39" s="10"/>
      <c r="I39" s="3" t="s">
        <v>85</v>
      </c>
      <c r="J39" s="156" t="s">
        <v>649</v>
      </c>
      <c r="K39" s="150" t="s">
        <v>477</v>
      </c>
      <c r="L39" s="4"/>
    </row>
    <row r="40" spans="1:12" hidden="1">
      <c r="A40" s="3"/>
      <c r="B40" s="3">
        <v>37</v>
      </c>
      <c r="C40" s="4" t="s">
        <v>63</v>
      </c>
      <c r="D40" s="56">
        <v>16108198</v>
      </c>
      <c r="E40" s="4"/>
      <c r="F40" s="65">
        <v>14089</v>
      </c>
      <c r="G40" s="151" t="s">
        <v>66</v>
      </c>
      <c r="H40" s="10"/>
      <c r="I40" s="3" t="s">
        <v>478</v>
      </c>
      <c r="J40" s="156" t="s">
        <v>660</v>
      </c>
      <c r="K40" s="150" t="s">
        <v>653</v>
      </c>
      <c r="L40" s="4"/>
    </row>
    <row r="41" spans="1:12" hidden="1">
      <c r="A41" s="3"/>
      <c r="B41" s="3">
        <v>38</v>
      </c>
      <c r="C41" s="4" t="s">
        <v>63</v>
      </c>
      <c r="D41" s="56">
        <v>16108199</v>
      </c>
      <c r="E41" s="4"/>
      <c r="F41" s="65">
        <v>14088</v>
      </c>
      <c r="G41" s="4" t="s">
        <v>571</v>
      </c>
      <c r="H41" s="10"/>
      <c r="I41" s="3" t="s">
        <v>478</v>
      </c>
      <c r="J41" s="156" t="s">
        <v>660</v>
      </c>
      <c r="K41" s="150" t="s">
        <v>653</v>
      </c>
      <c r="L41" s="4"/>
    </row>
    <row r="42" spans="1:12" hidden="1">
      <c r="A42" s="3"/>
      <c r="B42" s="3">
        <v>39</v>
      </c>
      <c r="C42" s="4" t="s">
        <v>63</v>
      </c>
      <c r="D42" s="56">
        <v>16108200</v>
      </c>
      <c r="E42" s="4"/>
      <c r="F42" s="65">
        <v>14366</v>
      </c>
      <c r="G42" s="151" t="s">
        <v>66</v>
      </c>
      <c r="H42" s="10"/>
      <c r="I42" s="3" t="s">
        <v>665</v>
      </c>
      <c r="J42" s="156" t="s">
        <v>666</v>
      </c>
      <c r="K42" s="150" t="s">
        <v>653</v>
      </c>
      <c r="L42" s="4"/>
    </row>
    <row r="43" spans="1:12" hidden="1">
      <c r="A43" s="3"/>
      <c r="B43" s="3">
        <v>40</v>
      </c>
      <c r="C43" s="4" t="s">
        <v>63</v>
      </c>
      <c r="D43" s="56">
        <v>16108201</v>
      </c>
      <c r="E43" s="4"/>
      <c r="F43" s="65">
        <v>14365</v>
      </c>
      <c r="G43" s="4" t="s">
        <v>571</v>
      </c>
      <c r="H43" s="10"/>
      <c r="I43" s="3" t="s">
        <v>665</v>
      </c>
      <c r="J43" s="156" t="s">
        <v>666</v>
      </c>
      <c r="K43" s="150" t="s">
        <v>653</v>
      </c>
      <c r="L43" s="4"/>
    </row>
    <row r="44" spans="1:12" hidden="1">
      <c r="A44" s="3"/>
      <c r="B44" s="3">
        <v>41</v>
      </c>
      <c r="C44" s="4" t="s">
        <v>63</v>
      </c>
      <c r="D44" s="56">
        <v>16108202</v>
      </c>
      <c r="E44" s="4"/>
      <c r="F44" s="65">
        <v>14684</v>
      </c>
      <c r="G44" s="151" t="s">
        <v>66</v>
      </c>
      <c r="H44" s="10"/>
      <c r="I44" s="8" t="s">
        <v>515</v>
      </c>
      <c r="J44" s="156" t="s">
        <v>675</v>
      </c>
      <c r="K44" s="150" t="s">
        <v>653</v>
      </c>
      <c r="L44" s="4"/>
    </row>
    <row r="45" spans="1:12" hidden="1">
      <c r="A45" s="3"/>
      <c r="B45" s="3">
        <v>42</v>
      </c>
      <c r="C45" s="4" t="s">
        <v>63</v>
      </c>
      <c r="D45" s="56">
        <v>16108203</v>
      </c>
      <c r="E45" s="4"/>
      <c r="F45" s="65">
        <v>14685</v>
      </c>
      <c r="G45" s="4" t="s">
        <v>571</v>
      </c>
      <c r="H45" s="10"/>
      <c r="I45" s="8" t="s">
        <v>515</v>
      </c>
      <c r="J45" s="156" t="s">
        <v>675</v>
      </c>
      <c r="K45" s="150" t="s">
        <v>653</v>
      </c>
      <c r="L45" s="4"/>
    </row>
    <row r="46" spans="1:12" ht="18.600000000000001" thickTop="1">
      <c r="A46" s="3"/>
      <c r="B46" s="3">
        <v>43</v>
      </c>
      <c r="C46" s="4" t="s">
        <v>63</v>
      </c>
      <c r="D46" s="56">
        <v>16108204</v>
      </c>
      <c r="E46" s="4"/>
      <c r="F46" s="65">
        <v>14834</v>
      </c>
      <c r="G46" s="151" t="s">
        <v>66</v>
      </c>
      <c r="H46" s="10"/>
      <c r="I46" s="3" t="s">
        <v>33</v>
      </c>
      <c r="J46" s="144">
        <v>45645</v>
      </c>
      <c r="K46" s="3" t="s">
        <v>653</v>
      </c>
      <c r="L46" s="4"/>
    </row>
    <row r="47" spans="1:12">
      <c r="B47" s="3">
        <v>44</v>
      </c>
      <c r="C47" s="4" t="s">
        <v>63</v>
      </c>
      <c r="D47" s="56">
        <v>16108205</v>
      </c>
      <c r="F47" s="65">
        <v>14835</v>
      </c>
      <c r="G47" s="4" t="s">
        <v>571</v>
      </c>
      <c r="H47" s="10"/>
      <c r="I47" s="3" t="s">
        <v>33</v>
      </c>
      <c r="J47" s="144">
        <v>45645</v>
      </c>
      <c r="K47" s="3" t="s">
        <v>653</v>
      </c>
      <c r="L47" s="4"/>
    </row>
    <row r="48" spans="1:12">
      <c r="B48" s="3">
        <v>45</v>
      </c>
      <c r="C48" s="4" t="s">
        <v>63</v>
      </c>
      <c r="D48" s="56">
        <v>16108206</v>
      </c>
      <c r="F48" s="65">
        <v>15101</v>
      </c>
      <c r="G48" s="151" t="s">
        <v>66</v>
      </c>
      <c r="H48" s="10"/>
      <c r="I48" s="3" t="s">
        <v>518</v>
      </c>
      <c r="J48" s="144" t="s">
        <v>692</v>
      </c>
      <c r="K48" s="3" t="s">
        <v>653</v>
      </c>
      <c r="L48" s="4"/>
    </row>
    <row r="49" spans="2:12">
      <c r="B49" s="3">
        <v>46</v>
      </c>
      <c r="C49" s="4" t="s">
        <v>63</v>
      </c>
      <c r="D49" s="56">
        <v>16108207</v>
      </c>
      <c r="F49" s="65">
        <v>15102</v>
      </c>
      <c r="G49" s="4" t="s">
        <v>571</v>
      </c>
      <c r="H49" s="10"/>
      <c r="I49" s="3" t="s">
        <v>518</v>
      </c>
      <c r="J49" s="144" t="s">
        <v>692</v>
      </c>
      <c r="K49" s="3" t="s">
        <v>653</v>
      </c>
      <c r="L49" s="4"/>
    </row>
    <row r="50" spans="2:12">
      <c r="B50" s="3">
        <v>47</v>
      </c>
      <c r="C50" s="4" t="s">
        <v>63</v>
      </c>
      <c r="D50" s="56">
        <v>16108208</v>
      </c>
      <c r="F50" s="65">
        <v>15240</v>
      </c>
      <c r="G50" s="151" t="s">
        <v>66</v>
      </c>
      <c r="H50" s="10"/>
      <c r="I50" s="3" t="s">
        <v>217</v>
      </c>
      <c r="J50" s="144" t="s">
        <v>700</v>
      </c>
      <c r="K50" s="3" t="s">
        <v>653</v>
      </c>
      <c r="L50" s="4"/>
    </row>
    <row r="51" spans="2:12">
      <c r="B51" s="3">
        <v>48</v>
      </c>
      <c r="C51" s="4" t="s">
        <v>63</v>
      </c>
      <c r="D51" s="56">
        <v>16108209</v>
      </c>
      <c r="F51" s="65">
        <v>15253</v>
      </c>
      <c r="G51" s="4" t="s">
        <v>571</v>
      </c>
      <c r="H51" s="10"/>
      <c r="I51" s="3" t="s">
        <v>217</v>
      </c>
      <c r="J51" s="144" t="s">
        <v>700</v>
      </c>
      <c r="K51" s="3" t="s">
        <v>653</v>
      </c>
      <c r="L51" s="4"/>
    </row>
    <row r="52" spans="2:12">
      <c r="B52" s="3">
        <v>49</v>
      </c>
      <c r="C52" s="4" t="s">
        <v>63</v>
      </c>
      <c r="D52" s="56">
        <v>16108210</v>
      </c>
      <c r="F52" s="65" t="s">
        <v>743</v>
      </c>
      <c r="G52" s="4" t="s">
        <v>744</v>
      </c>
      <c r="H52" s="10"/>
      <c r="I52" s="3" t="s">
        <v>745</v>
      </c>
      <c r="J52" s="168">
        <v>45750</v>
      </c>
      <c r="K52" s="3" t="s">
        <v>746</v>
      </c>
      <c r="L52" s="4"/>
    </row>
    <row r="53" spans="2:12">
      <c r="B53" s="3">
        <v>50</v>
      </c>
      <c r="C53" s="4" t="s">
        <v>63</v>
      </c>
      <c r="D53" s="56">
        <v>16108211</v>
      </c>
      <c r="F53" s="65" t="s">
        <v>764</v>
      </c>
      <c r="G53" s="4" t="s">
        <v>571</v>
      </c>
      <c r="H53" s="10"/>
      <c r="I53" s="3" t="s">
        <v>765</v>
      </c>
      <c r="J53" s="168">
        <v>45784</v>
      </c>
      <c r="K53" s="3" t="s">
        <v>710</v>
      </c>
      <c r="L53" s="4"/>
    </row>
    <row r="54" spans="2:12">
      <c r="B54" s="3">
        <v>51</v>
      </c>
      <c r="C54" s="4" t="s">
        <v>63</v>
      </c>
      <c r="D54" s="56">
        <v>16108212</v>
      </c>
      <c r="F54" s="65">
        <v>16144</v>
      </c>
      <c r="G54" s="4" t="s">
        <v>571</v>
      </c>
      <c r="H54" s="10"/>
      <c r="I54" s="3" t="s">
        <v>56</v>
      </c>
      <c r="J54" s="162" t="s">
        <v>793</v>
      </c>
      <c r="K54" s="150" t="s">
        <v>653</v>
      </c>
      <c r="L54" s="4"/>
    </row>
    <row r="55" spans="2:12">
      <c r="B55" s="3">
        <v>52</v>
      </c>
      <c r="C55" s="4" t="s">
        <v>63</v>
      </c>
      <c r="D55" s="56">
        <v>16108213</v>
      </c>
      <c r="F55" s="65">
        <v>16386</v>
      </c>
      <c r="G55" s="4" t="s">
        <v>571</v>
      </c>
      <c r="H55" s="10"/>
      <c r="I55" s="3" t="s">
        <v>635</v>
      </c>
      <c r="J55" s="168">
        <v>45835</v>
      </c>
      <c r="K55" s="3" t="s">
        <v>653</v>
      </c>
      <c r="L55" s="4"/>
    </row>
    <row r="56" spans="2:12">
      <c r="B56" s="3">
        <v>53</v>
      </c>
      <c r="C56" s="4" t="s">
        <v>63</v>
      </c>
      <c r="D56" s="56">
        <v>16108214</v>
      </c>
      <c r="F56" s="65">
        <v>16696</v>
      </c>
      <c r="G56" s="4" t="s">
        <v>571</v>
      </c>
      <c r="H56" s="10"/>
      <c r="I56" s="3" t="s">
        <v>84</v>
      </c>
      <c r="J56" s="162" t="s">
        <v>802</v>
      </c>
      <c r="K56" s="3" t="s">
        <v>653</v>
      </c>
      <c r="L56" s="4"/>
    </row>
    <row r="57" spans="2:12">
      <c r="B57" s="3">
        <v>54</v>
      </c>
      <c r="C57" s="4" t="s">
        <v>63</v>
      </c>
      <c r="D57" s="56">
        <v>16108215</v>
      </c>
      <c r="F57" s="65">
        <v>16927</v>
      </c>
      <c r="G57" s="4" t="s">
        <v>571</v>
      </c>
      <c r="H57" s="10"/>
      <c r="I57" s="3" t="s">
        <v>85</v>
      </c>
      <c r="J57" s="168">
        <v>45889</v>
      </c>
      <c r="K57" s="3" t="s">
        <v>653</v>
      </c>
      <c r="L57" s="4"/>
    </row>
    <row r="58" spans="2:12">
      <c r="B58" s="3">
        <v>55</v>
      </c>
      <c r="C58" s="4" t="s">
        <v>63</v>
      </c>
      <c r="D58" s="56">
        <v>16108216</v>
      </c>
      <c r="F58" s="65">
        <v>17200</v>
      </c>
      <c r="G58" s="4" t="s">
        <v>829</v>
      </c>
      <c r="H58" s="10"/>
      <c r="I58" s="3" t="s">
        <v>481</v>
      </c>
      <c r="J58" s="168">
        <v>45916</v>
      </c>
      <c r="K58" s="3" t="s">
        <v>653</v>
      </c>
      <c r="L58" s="4"/>
    </row>
    <row r="59" spans="2:12">
      <c r="B59" s="3">
        <v>56</v>
      </c>
      <c r="C59" s="4" t="s">
        <v>63</v>
      </c>
      <c r="D59" s="56">
        <v>16108217</v>
      </c>
      <c r="F59" s="65">
        <v>17450</v>
      </c>
      <c r="G59" s="4" t="s">
        <v>69</v>
      </c>
      <c r="H59" s="10"/>
      <c r="I59" s="3" t="s">
        <v>661</v>
      </c>
      <c r="J59" s="168">
        <v>45946</v>
      </c>
      <c r="K59" s="3" t="s">
        <v>653</v>
      </c>
      <c r="L59" s="4"/>
    </row>
    <row r="60" spans="2:12">
      <c r="B60" s="3">
        <v>57</v>
      </c>
      <c r="C60" s="4" t="s">
        <v>63</v>
      </c>
      <c r="D60" s="56">
        <v>16108218</v>
      </c>
      <c r="F60" s="65">
        <v>17761</v>
      </c>
      <c r="G60" s="4" t="s">
        <v>69</v>
      </c>
      <c r="H60" s="10"/>
      <c r="I60" s="3" t="s">
        <v>857</v>
      </c>
      <c r="J60" s="168">
        <v>45975</v>
      </c>
      <c r="K60" s="3" t="s">
        <v>653</v>
      </c>
      <c r="L60" s="4"/>
    </row>
    <row r="61" spans="2:12">
      <c r="B61" s="3">
        <v>58</v>
      </c>
      <c r="C61" s="4" t="s">
        <v>63</v>
      </c>
      <c r="D61" s="56">
        <v>16108219</v>
      </c>
      <c r="F61" s="65">
        <v>17986</v>
      </c>
      <c r="G61" s="4" t="s">
        <v>69</v>
      </c>
      <c r="H61" s="10"/>
      <c r="I61" s="3" t="s">
        <v>860</v>
      </c>
      <c r="J61" s="168">
        <v>46008</v>
      </c>
      <c r="K61" s="3" t="s">
        <v>653</v>
      </c>
      <c r="L61" s="4"/>
    </row>
    <row r="62" spans="2:12">
      <c r="B62" s="3">
        <v>59</v>
      </c>
      <c r="C62" s="4"/>
      <c r="D62" s="56">
        <v>16108220</v>
      </c>
      <c r="F62" s="65"/>
      <c r="G62" s="4"/>
      <c r="H62" s="10"/>
      <c r="I62" s="3"/>
      <c r="J62" s="3"/>
      <c r="K62" s="3"/>
      <c r="L62" s="4"/>
    </row>
    <row r="63" spans="2:12">
      <c r="B63" s="3">
        <v>60</v>
      </c>
      <c r="C63" s="4"/>
      <c r="D63" s="56">
        <v>16108221</v>
      </c>
      <c r="F63" s="65"/>
      <c r="G63" s="4"/>
      <c r="H63" s="10"/>
      <c r="I63" s="3"/>
      <c r="J63" s="3"/>
      <c r="K63" s="3"/>
      <c r="L63" s="4"/>
    </row>
    <row r="64" spans="2:12">
      <c r="B64" s="3">
        <v>61</v>
      </c>
      <c r="C64" s="4"/>
      <c r="D64" s="56">
        <v>16108222</v>
      </c>
      <c r="F64" s="65"/>
      <c r="G64" s="4"/>
      <c r="H64" s="10"/>
      <c r="I64" s="3"/>
      <c r="J64" s="3"/>
      <c r="K64" s="3"/>
      <c r="L64" s="4"/>
    </row>
    <row r="65" spans="2:12">
      <c r="B65" s="3">
        <v>62</v>
      </c>
      <c r="C65" s="4"/>
      <c r="D65" s="56">
        <v>16108223</v>
      </c>
      <c r="F65" s="65"/>
      <c r="G65" s="4"/>
      <c r="H65" s="10"/>
      <c r="I65" s="3"/>
      <c r="J65" s="3"/>
      <c r="K65" s="3"/>
      <c r="L65" s="4"/>
    </row>
    <row r="66" spans="2:12">
      <c r="B66" s="3">
        <v>63</v>
      </c>
      <c r="C66" s="4"/>
      <c r="D66" s="56">
        <v>16108224</v>
      </c>
      <c r="F66" s="65"/>
      <c r="G66" s="4"/>
      <c r="H66" s="10"/>
      <c r="I66" s="3"/>
      <c r="J66" s="3"/>
      <c r="K66" s="3"/>
      <c r="L66" s="4"/>
    </row>
  </sheetData>
  <autoFilter ref="A3:K6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54" priority="1" operator="containsText" text="見積！">
      <formula>NOT(ISERROR(SEARCH("見積！",A1)))</formula>
    </cfRule>
  </conditionalFormatting>
  <conditionalFormatting sqref="A4:A1048576">
    <cfRule type="containsText" dxfId="153" priority="4" operator="containsText" text="着手">
      <formula>NOT(ISERROR(SEARCH("着手",A4)))</formula>
    </cfRule>
    <cfRule type="containsText" dxfId="152" priority="5" operator="containsText" text="見積完了">
      <formula>NOT(ISERROR(SEARCH("見積完了",A4)))</formula>
    </cfRule>
    <cfRule type="containsText" dxfId="151" priority="6" operator="containsText" text="中止">
      <formula>NOT(ISERROR(SEARCH("中止",A4)))</formula>
    </cfRule>
    <cfRule type="containsText" dxfId="150" priority="7" operator="containsText" text="保留">
      <formula>NOT(ISERROR(SEARCH("保留",A4)))</formula>
    </cfRule>
    <cfRule type="containsText" dxfId="149" priority="8" operator="containsText" text="進行中">
      <formula>NOT(ISERROR(SEARCH("進行中",A4)))</formula>
    </cfRule>
    <cfRule type="containsText" dxfId="148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G2:G1048576 K1:L1048576 I1:I1048576" xr:uid="{9AC0C67B-4564-4E39-BAE1-E613D0DDC88B}"/>
    <dataValidation imeMode="off" allowBlank="1" showInputMessage="1" showErrorMessage="1" sqref="G1 H1:H1048576 D1:F1048576 B1:B1048576 J1:J1048576" xr:uid="{089D6A68-2211-44B3-AC2B-119D67512766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7C730D-A4D9-47C1-AC91-E2623FEEB799}">
          <x14:formula1>
            <xm:f>タスク!$B$3:$B$14</xm:f>
          </x14:formula1>
          <xm:sqref>A4:A1048576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815-E6B8-472D-B8BD-77C4B0D84BA7}">
  <sheetPr codeName="Sheet6">
    <tabColor theme="0" tint="-0.499984740745262"/>
    <pageSetUpPr fitToPage="1"/>
  </sheetPr>
  <dimension ref="A1:M34"/>
  <sheetViews>
    <sheetView zoomScaleNormal="100" workbookViewId="0">
      <pane ySplit="3" topLeftCell="A7" activePane="bottomLeft" state="frozen"/>
      <selection activeCell="A11" sqref="A11"/>
      <selection pane="bottomLeft" activeCell="G19" sqref="G1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0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D2" s="7"/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s="8" customFormat="1" ht="18.600000000000001" thickTop="1">
      <c r="A4" s="17" t="s">
        <v>28</v>
      </c>
      <c r="B4" s="3">
        <v>1</v>
      </c>
      <c r="C4" s="4" t="s">
        <v>86</v>
      </c>
      <c r="D4" s="12">
        <v>16101111</v>
      </c>
      <c r="E4" s="4" t="s">
        <v>87</v>
      </c>
      <c r="F4" s="65" t="s">
        <v>88</v>
      </c>
      <c r="G4" s="4" t="s">
        <v>89</v>
      </c>
      <c r="H4" s="10">
        <v>391300</v>
      </c>
      <c r="I4" s="3" t="s">
        <v>33</v>
      </c>
      <c r="J4" s="1">
        <v>44923</v>
      </c>
      <c r="K4" s="3" t="s">
        <v>34</v>
      </c>
      <c r="L4" s="5"/>
      <c r="M4"/>
    </row>
    <row r="5" spans="1:13" s="8" customFormat="1">
      <c r="A5" s="17" t="s">
        <v>28</v>
      </c>
      <c r="B5" s="3">
        <v>2</v>
      </c>
      <c r="C5" s="4" t="s">
        <v>86</v>
      </c>
      <c r="D5" s="12">
        <v>16101112</v>
      </c>
      <c r="E5" s="4" t="s">
        <v>90</v>
      </c>
      <c r="F5" s="65" t="s">
        <v>91</v>
      </c>
      <c r="G5" s="4" t="s">
        <v>92</v>
      </c>
      <c r="H5" s="10">
        <v>774000</v>
      </c>
      <c r="I5" s="3" t="s">
        <v>33</v>
      </c>
      <c r="J5" s="1">
        <v>44923</v>
      </c>
      <c r="K5" s="3" t="s">
        <v>34</v>
      </c>
      <c r="L5" s="5"/>
      <c r="M5"/>
    </row>
    <row r="6" spans="1:13" s="8" customFormat="1">
      <c r="A6" s="17" t="s">
        <v>28</v>
      </c>
      <c r="B6" s="3">
        <v>3</v>
      </c>
      <c r="C6" s="4" t="s">
        <v>86</v>
      </c>
      <c r="D6" s="12">
        <v>16101113</v>
      </c>
      <c r="E6" s="4" t="s">
        <v>93</v>
      </c>
      <c r="F6" s="65" t="s">
        <v>94</v>
      </c>
      <c r="G6" s="4" t="s">
        <v>95</v>
      </c>
      <c r="H6" s="10">
        <v>323000</v>
      </c>
      <c r="I6" s="3" t="s">
        <v>33</v>
      </c>
      <c r="J6" s="1">
        <v>44923</v>
      </c>
      <c r="K6" s="3" t="s">
        <v>34</v>
      </c>
      <c r="L6" s="5"/>
      <c r="M6"/>
    </row>
    <row r="7" spans="1:13" s="8" customFormat="1">
      <c r="A7" s="17" t="s">
        <v>28</v>
      </c>
      <c r="B7" s="3">
        <v>4</v>
      </c>
      <c r="C7" s="4" t="s">
        <v>86</v>
      </c>
      <c r="D7" s="12">
        <v>16101114</v>
      </c>
      <c r="E7" s="4" t="s">
        <v>96</v>
      </c>
      <c r="F7" s="65" t="s">
        <v>97</v>
      </c>
      <c r="G7" s="4" t="s">
        <v>98</v>
      </c>
      <c r="H7" s="10">
        <v>119000</v>
      </c>
      <c r="I7" s="3" t="s">
        <v>33</v>
      </c>
      <c r="J7" s="1">
        <v>44923</v>
      </c>
      <c r="K7" s="3" t="s">
        <v>34</v>
      </c>
      <c r="L7" s="5"/>
      <c r="M7"/>
    </row>
    <row r="8" spans="1:13" s="8" customFormat="1">
      <c r="A8" s="17" t="s">
        <v>28</v>
      </c>
      <c r="B8" s="3">
        <v>5</v>
      </c>
      <c r="C8" s="4" t="s">
        <v>86</v>
      </c>
      <c r="D8" s="12">
        <v>16101115</v>
      </c>
      <c r="E8" s="4" t="s">
        <v>99</v>
      </c>
      <c r="F8" s="65" t="s">
        <v>100</v>
      </c>
      <c r="G8" s="4" t="s">
        <v>101</v>
      </c>
      <c r="H8" s="10">
        <v>655000</v>
      </c>
      <c r="I8" s="3" t="s">
        <v>33</v>
      </c>
      <c r="J8" s="1">
        <v>44923</v>
      </c>
      <c r="K8" s="3" t="s">
        <v>34</v>
      </c>
      <c r="L8" s="5"/>
      <c r="M8"/>
    </row>
    <row r="9" spans="1:13" s="8" customFormat="1">
      <c r="A9" s="17" t="s">
        <v>28</v>
      </c>
      <c r="B9" s="3">
        <v>6</v>
      </c>
      <c r="C9" s="4" t="s">
        <v>86</v>
      </c>
      <c r="D9" s="12">
        <v>16101116</v>
      </c>
      <c r="E9" s="4" t="s">
        <v>102</v>
      </c>
      <c r="F9" s="65">
        <v>8444</v>
      </c>
      <c r="G9" s="4" t="s">
        <v>103</v>
      </c>
      <c r="H9" s="10">
        <v>240800</v>
      </c>
      <c r="I9" s="3" t="s">
        <v>36</v>
      </c>
      <c r="J9" s="1">
        <v>44959</v>
      </c>
      <c r="K9" s="3" t="s">
        <v>34</v>
      </c>
      <c r="L9" s="5"/>
      <c r="M9"/>
    </row>
    <row r="10" spans="1:13" s="8" customFormat="1">
      <c r="A10" s="17" t="s">
        <v>28</v>
      </c>
      <c r="B10" s="3">
        <v>7</v>
      </c>
      <c r="C10" s="4" t="s">
        <v>86</v>
      </c>
      <c r="D10" s="12">
        <v>16101117</v>
      </c>
      <c r="E10" s="4" t="s">
        <v>104</v>
      </c>
      <c r="F10" s="65">
        <v>8436</v>
      </c>
      <c r="G10" s="4" t="s">
        <v>92</v>
      </c>
      <c r="H10" s="10">
        <v>774000</v>
      </c>
      <c r="I10" s="3" t="s">
        <v>36</v>
      </c>
      <c r="J10" s="1">
        <v>44960</v>
      </c>
      <c r="K10" s="3" t="s">
        <v>34</v>
      </c>
      <c r="L10" s="5"/>
      <c r="M10"/>
    </row>
    <row r="11" spans="1:13" s="8" customFormat="1">
      <c r="A11" s="17" t="s">
        <v>28</v>
      </c>
      <c r="B11" s="3">
        <v>8</v>
      </c>
      <c r="C11" s="4" t="s">
        <v>86</v>
      </c>
      <c r="D11" s="12">
        <v>16101118</v>
      </c>
      <c r="E11" s="4" t="s">
        <v>105</v>
      </c>
      <c r="F11" s="65">
        <v>8449</v>
      </c>
      <c r="G11" s="4" t="s">
        <v>106</v>
      </c>
      <c r="H11" s="10">
        <v>512000</v>
      </c>
      <c r="I11" s="3" t="s">
        <v>36</v>
      </c>
      <c r="J11" s="1">
        <v>44960</v>
      </c>
      <c r="K11" s="3" t="s">
        <v>34</v>
      </c>
      <c r="L11" s="5"/>
      <c r="M11"/>
    </row>
    <row r="12" spans="1:13" s="8" customFormat="1">
      <c r="A12" s="17" t="s">
        <v>28</v>
      </c>
      <c r="B12" s="3">
        <v>9</v>
      </c>
      <c r="C12" s="4" t="s">
        <v>86</v>
      </c>
      <c r="D12" s="12">
        <v>16101119</v>
      </c>
      <c r="E12" s="4" t="s">
        <v>107</v>
      </c>
      <c r="F12" s="65">
        <v>8437</v>
      </c>
      <c r="G12" s="4" t="s">
        <v>98</v>
      </c>
      <c r="H12" s="10">
        <v>807000</v>
      </c>
      <c r="I12" s="3" t="s">
        <v>36</v>
      </c>
      <c r="J12" s="1">
        <v>44960</v>
      </c>
      <c r="K12" s="3" t="s">
        <v>34</v>
      </c>
      <c r="L12" s="5"/>
      <c r="M12"/>
    </row>
    <row r="13" spans="1:13" s="8" customFormat="1">
      <c r="A13" s="17" t="s">
        <v>28</v>
      </c>
      <c r="B13" s="3">
        <v>10</v>
      </c>
      <c r="C13" s="4" t="s">
        <v>86</v>
      </c>
      <c r="D13" s="12">
        <v>16101120</v>
      </c>
      <c r="E13" s="4" t="s">
        <v>108</v>
      </c>
      <c r="F13" s="65">
        <v>8651</v>
      </c>
      <c r="G13" s="4" t="s">
        <v>103</v>
      </c>
      <c r="H13" s="10">
        <v>365500</v>
      </c>
      <c r="I13" s="3" t="s">
        <v>79</v>
      </c>
      <c r="J13" s="1">
        <v>44984</v>
      </c>
      <c r="K13" s="3" t="s">
        <v>34</v>
      </c>
      <c r="L13" s="5"/>
      <c r="M13"/>
    </row>
    <row r="14" spans="1:13" s="8" customFormat="1">
      <c r="A14" s="17" t="s">
        <v>28</v>
      </c>
      <c r="B14" s="3">
        <v>11</v>
      </c>
      <c r="C14" s="4" t="s">
        <v>86</v>
      </c>
      <c r="D14" s="12">
        <v>16101121</v>
      </c>
      <c r="E14" s="4"/>
      <c r="F14" s="65">
        <v>8766</v>
      </c>
      <c r="G14" s="4" t="s">
        <v>92</v>
      </c>
      <c r="H14" s="10">
        <v>774000</v>
      </c>
      <c r="I14" s="3" t="s">
        <v>79</v>
      </c>
      <c r="J14" s="1">
        <v>44994</v>
      </c>
      <c r="K14" s="3" t="s">
        <v>34</v>
      </c>
      <c r="L14" s="5"/>
      <c r="M14"/>
    </row>
    <row r="15" spans="1:13" s="8" customFormat="1">
      <c r="A15" s="17" t="s">
        <v>28</v>
      </c>
      <c r="B15" s="3">
        <v>12</v>
      </c>
      <c r="C15" s="4" t="s">
        <v>86</v>
      </c>
      <c r="D15" s="12">
        <v>16101122</v>
      </c>
      <c r="E15" s="4"/>
      <c r="F15" s="65">
        <v>8765</v>
      </c>
      <c r="G15" s="4" t="s">
        <v>106</v>
      </c>
      <c r="H15" s="10">
        <v>525000</v>
      </c>
      <c r="I15" s="3" t="s">
        <v>79</v>
      </c>
      <c r="J15" s="1">
        <v>44994</v>
      </c>
      <c r="K15" s="3" t="s">
        <v>34</v>
      </c>
      <c r="L15" s="5"/>
      <c r="M15"/>
    </row>
    <row r="16" spans="1:13" s="8" customFormat="1">
      <c r="A16" s="17"/>
      <c r="B16" s="3"/>
      <c r="C16" s="4"/>
      <c r="D16" s="12"/>
      <c r="E16" s="4"/>
      <c r="F16" s="65"/>
      <c r="G16" s="4"/>
      <c r="H16" s="10"/>
      <c r="I16" s="3"/>
      <c r="J16" s="1"/>
      <c r="K16" s="3"/>
      <c r="L16" s="5"/>
      <c r="M16"/>
    </row>
    <row r="17" spans="1:13" s="8" customFormat="1">
      <c r="A17" s="17"/>
      <c r="B17" s="3"/>
      <c r="C17" s="4"/>
      <c r="D17" s="12"/>
      <c r="E17" s="4"/>
      <c r="F17" s="65"/>
      <c r="G17" s="4"/>
      <c r="H17" s="10"/>
      <c r="I17" s="3"/>
      <c r="J17" s="1"/>
      <c r="K17" s="3"/>
      <c r="L17" s="5"/>
      <c r="M17"/>
    </row>
    <row r="18" spans="1:13" s="8" customFormat="1">
      <c r="A18" s="17"/>
      <c r="B18" s="3"/>
      <c r="C18" s="4"/>
      <c r="D18" s="12"/>
      <c r="E18" s="4"/>
      <c r="F18" s="65"/>
      <c r="G18" s="4"/>
      <c r="H18" s="10"/>
      <c r="I18" s="3"/>
      <c r="J18" s="1"/>
      <c r="K18" s="3"/>
      <c r="L18" s="5"/>
      <c r="M18"/>
    </row>
    <row r="19" spans="1:13" s="8" customFormat="1">
      <c r="A19" s="17"/>
      <c r="B19" s="3"/>
      <c r="C19" s="4"/>
      <c r="D19" s="12"/>
      <c r="E19" s="4"/>
      <c r="F19" s="65"/>
      <c r="G19" s="4"/>
      <c r="H19" s="10"/>
      <c r="I19" s="3"/>
      <c r="J19" s="1"/>
      <c r="K19" s="3"/>
      <c r="L19" s="5"/>
      <c r="M19"/>
    </row>
    <row r="20" spans="1:13" s="8" customFormat="1">
      <c r="A20" s="17"/>
      <c r="B20" s="3"/>
      <c r="C20" s="4"/>
      <c r="D20" s="12"/>
      <c r="E20" s="4"/>
      <c r="F20" s="65"/>
      <c r="G20" s="4"/>
      <c r="H20" s="10"/>
      <c r="I20" s="3"/>
      <c r="J20" s="1"/>
      <c r="K20" s="3"/>
      <c r="L20" s="5"/>
      <c r="M20"/>
    </row>
    <row r="21" spans="1:13" s="8" customFormat="1">
      <c r="A21" s="17"/>
      <c r="B21" s="3"/>
      <c r="C21" s="4"/>
      <c r="D21" s="12"/>
      <c r="E21" s="4"/>
      <c r="F21" s="65"/>
      <c r="G21" s="4"/>
      <c r="H21" s="10"/>
      <c r="I21" s="3"/>
      <c r="J21" s="1"/>
      <c r="K21" s="3"/>
      <c r="L21" s="5"/>
      <c r="M21"/>
    </row>
    <row r="22" spans="1:13" s="8" customFormat="1">
      <c r="A22" s="17"/>
      <c r="B22" s="3"/>
      <c r="C22" s="4"/>
      <c r="D22" s="12"/>
      <c r="E22" s="4"/>
      <c r="F22" s="65"/>
      <c r="G22" s="4"/>
      <c r="H22" s="10"/>
      <c r="I22" s="3"/>
      <c r="J22" s="1"/>
      <c r="K22" s="3"/>
      <c r="L22" s="5"/>
      <c r="M22"/>
    </row>
    <row r="23" spans="1:13" s="8" customFormat="1">
      <c r="A23" s="17"/>
      <c r="B23" s="3"/>
      <c r="C23" s="4"/>
      <c r="D23" s="12"/>
      <c r="E23" s="4"/>
      <c r="F23" s="65"/>
      <c r="G23" s="4"/>
      <c r="H23" s="10"/>
      <c r="I23" s="3"/>
      <c r="J23" s="1"/>
      <c r="K23" s="3"/>
      <c r="L23" s="5"/>
      <c r="M23"/>
    </row>
    <row r="24" spans="1:13" s="8" customFormat="1">
      <c r="A24" s="17"/>
      <c r="B24" s="3"/>
      <c r="C24" s="4"/>
      <c r="D24" s="12"/>
      <c r="E24" s="4"/>
      <c r="F24" s="65"/>
      <c r="G24" s="4"/>
      <c r="H24" s="10"/>
      <c r="I24" s="3"/>
      <c r="J24" s="1"/>
      <c r="K24" s="3"/>
      <c r="L24" s="5"/>
      <c r="M24"/>
    </row>
    <row r="25" spans="1:13" s="8" customFormat="1">
      <c r="A25" s="17"/>
      <c r="B25" s="3"/>
      <c r="C25" s="4"/>
      <c r="D25" s="12"/>
      <c r="E25" s="4"/>
      <c r="F25" s="65"/>
      <c r="G25" s="4"/>
      <c r="H25" s="10"/>
      <c r="I25" s="3"/>
      <c r="J25" s="1"/>
      <c r="K25" s="3"/>
      <c r="L25" s="5"/>
      <c r="M25"/>
    </row>
    <row r="26" spans="1:13" s="8" customFormat="1">
      <c r="A26" s="17"/>
      <c r="B26" s="3"/>
      <c r="C26" s="4"/>
      <c r="D26" s="12"/>
      <c r="E26" s="4"/>
      <c r="F26" s="65"/>
      <c r="G26" s="4"/>
      <c r="H26" s="10"/>
      <c r="I26" s="3"/>
      <c r="J26" s="1"/>
      <c r="K26" s="3"/>
      <c r="L26" s="5"/>
      <c r="M26"/>
    </row>
    <row r="27" spans="1:13" s="8" customFormat="1">
      <c r="A27" s="17"/>
      <c r="B27" s="3"/>
      <c r="C27" s="4"/>
      <c r="D27" s="12"/>
      <c r="E27" s="4"/>
      <c r="F27" s="65"/>
      <c r="G27" s="4"/>
      <c r="H27" s="10"/>
      <c r="I27" s="3"/>
      <c r="J27" s="1"/>
      <c r="K27" s="3"/>
      <c r="L27" s="5"/>
      <c r="M27"/>
    </row>
    <row r="28" spans="1:13" s="8" customFormat="1">
      <c r="A28" s="17"/>
      <c r="B28" s="3"/>
      <c r="C28" s="4"/>
      <c r="D28" s="12"/>
      <c r="E28" s="4"/>
      <c r="F28" s="65"/>
      <c r="G28" s="4"/>
      <c r="H28" s="10"/>
      <c r="I28" s="3"/>
      <c r="J28" s="1"/>
      <c r="K28" s="3"/>
      <c r="L28" s="5"/>
      <c r="M28"/>
    </row>
    <row r="29" spans="1:13" s="8" customFormat="1">
      <c r="A29" s="17"/>
      <c r="B29" s="3"/>
      <c r="C29" s="4"/>
      <c r="D29" s="12"/>
      <c r="E29" s="4"/>
      <c r="F29" s="65"/>
      <c r="G29" s="4"/>
      <c r="H29" s="10"/>
      <c r="I29" s="3"/>
      <c r="J29" s="1"/>
      <c r="K29" s="3"/>
      <c r="L29" s="5"/>
      <c r="M29"/>
    </row>
    <row r="30" spans="1:13" s="8" customFormat="1">
      <c r="A30" s="17"/>
      <c r="B30" s="3"/>
      <c r="C30" s="4"/>
      <c r="D30" s="12"/>
      <c r="E30" s="4"/>
      <c r="F30" s="65"/>
      <c r="G30" s="4"/>
      <c r="H30" s="10"/>
      <c r="I30" s="3"/>
      <c r="J30" s="1"/>
      <c r="K30" s="3"/>
      <c r="L30" s="5"/>
      <c r="M30"/>
    </row>
    <row r="31" spans="1:13" s="8" customFormat="1">
      <c r="A31" s="17"/>
      <c r="B31" s="3"/>
      <c r="C31" s="4"/>
      <c r="D31" s="12"/>
      <c r="E31" s="4"/>
      <c r="F31" s="65"/>
      <c r="G31" s="4"/>
      <c r="H31" s="10"/>
      <c r="I31" s="3"/>
      <c r="J31" s="1"/>
      <c r="K31" s="3"/>
      <c r="L31" s="5"/>
      <c r="M31"/>
    </row>
    <row r="32" spans="1:13" s="8" customFormat="1">
      <c r="A32" s="17"/>
      <c r="B32" s="3"/>
      <c r="C32" s="4"/>
      <c r="D32" s="12"/>
      <c r="E32" s="4"/>
      <c r="F32" s="65"/>
      <c r="G32" s="4"/>
      <c r="H32" s="10"/>
      <c r="I32" s="3"/>
      <c r="J32" s="1"/>
      <c r="K32" s="3"/>
      <c r="L32" s="5"/>
      <c r="M32"/>
    </row>
    <row r="33" spans="1:13" s="8" customFormat="1">
      <c r="A33" s="17"/>
      <c r="B33" s="3"/>
      <c r="C33" s="4"/>
      <c r="D33" s="12"/>
      <c r="E33" s="4"/>
      <c r="F33" s="65"/>
      <c r="G33" s="4"/>
      <c r="H33" s="10"/>
      <c r="I33" s="3"/>
      <c r="J33" s="1"/>
      <c r="K33" s="3"/>
      <c r="L33" s="5"/>
      <c r="M33"/>
    </row>
    <row r="34" spans="1:13" s="8" customFormat="1">
      <c r="A34" s="17"/>
      <c r="B34" s="3"/>
      <c r="C34" s="4"/>
      <c r="D34" s="12"/>
      <c r="E34" s="4"/>
      <c r="F34" s="65"/>
      <c r="G34" s="4"/>
      <c r="H34" s="10"/>
      <c r="I34" s="3"/>
      <c r="J34" s="1"/>
      <c r="K34" s="3"/>
      <c r="L34" s="5"/>
      <c r="M34"/>
    </row>
  </sheetData>
  <autoFilter ref="A3:K8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47" priority="1" operator="containsText" text="見積！">
      <formula>NOT(ISERROR(SEARCH("見積！",A1)))</formula>
    </cfRule>
  </conditionalFormatting>
  <conditionalFormatting sqref="A4:A1048576">
    <cfRule type="containsText" dxfId="146" priority="4" operator="containsText" text="着手">
      <formula>NOT(ISERROR(SEARCH("着手",A4)))</formula>
    </cfRule>
    <cfRule type="containsText" dxfId="145" priority="5" operator="containsText" text="見積完了">
      <formula>NOT(ISERROR(SEARCH("見積完了",A4)))</formula>
    </cfRule>
    <cfRule type="containsText" dxfId="144" priority="6" operator="containsText" text="中止">
      <formula>NOT(ISERROR(SEARCH("中止",A4)))</formula>
    </cfRule>
    <cfRule type="containsText" dxfId="143" priority="7" operator="containsText" text="保留">
      <formula>NOT(ISERROR(SEARCH("保留",A4)))</formula>
    </cfRule>
    <cfRule type="containsText" dxfId="142" priority="8" operator="containsText" text="進行中">
      <formula>NOT(ISERROR(SEARCH("進行中",A4)))</formula>
    </cfRule>
    <cfRule type="containsText" dxfId="141" priority="9" operator="containsText" text="完了">
      <formula>NOT(ISERROR(SEARCH("完了",A4)))</formula>
    </cfRule>
  </conditionalFormatting>
  <dataValidations count="2">
    <dataValidation imeMode="off" allowBlank="1" showInputMessage="1" showErrorMessage="1" sqref="G1 J1:J1048576 H1:H1048576 D1:F1048576 B1:B1048576" xr:uid="{17B71A71-6BC0-4082-9B2D-57076DEBF590}"/>
    <dataValidation imeMode="on" allowBlank="1" showInputMessage="1" showErrorMessage="1" sqref="A2 C1:C1048576 G2:G1048576 I1:I1048576 K1:L1048576" xr:uid="{69A76293-0579-44E4-BCE4-A02E0C9A7468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3B643F-56D1-44A9-9757-1C79FF220CED}">
          <x14:formula1>
            <xm:f>タスク!$B$3:$B$14</xm:f>
          </x14:formula1>
          <xm:sqref>A4:A1048576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7AC1-91F2-40EA-ADE9-49282DD10E3A}">
  <sheetPr codeName="Sheet7">
    <tabColor theme="0" tint="-0.499984740745262"/>
    <pageSetUpPr fitToPage="1"/>
  </sheetPr>
  <dimension ref="A1:M7"/>
  <sheetViews>
    <sheetView zoomScaleNormal="100" workbookViewId="0">
      <pane ySplit="3" topLeftCell="A4" activePane="bottomLeft" state="frozen"/>
      <selection activeCell="A11" sqref="A11"/>
      <selection pane="bottomLeft" activeCell="D9" sqref="D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0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/>
      <c r="B4" s="3"/>
      <c r="C4" s="4" t="s">
        <v>109</v>
      </c>
      <c r="D4" s="12">
        <v>16106002</v>
      </c>
      <c r="E4" s="4"/>
      <c r="F4" s="65"/>
      <c r="G4" s="4"/>
      <c r="H4" s="10"/>
      <c r="I4" s="3"/>
      <c r="J4" s="1"/>
      <c r="K4" s="3"/>
    </row>
    <row r="5" spans="1:13">
      <c r="A5" s="17"/>
      <c r="B5" s="3"/>
      <c r="C5" s="4"/>
      <c r="D5" s="12"/>
      <c r="E5" s="4"/>
      <c r="F5" s="65"/>
      <c r="G5" s="4"/>
      <c r="H5" s="10"/>
      <c r="I5" s="3"/>
      <c r="J5" s="1"/>
      <c r="K5" s="3"/>
    </row>
    <row r="6" spans="1:13">
      <c r="A6" s="17"/>
      <c r="B6" s="3"/>
      <c r="C6" s="4"/>
      <c r="D6" s="12"/>
      <c r="E6" s="4"/>
      <c r="F6" s="65"/>
      <c r="G6" s="4"/>
      <c r="H6" s="10"/>
      <c r="I6" s="3"/>
      <c r="J6" s="1"/>
      <c r="K6" s="3"/>
    </row>
    <row r="7" spans="1:13">
      <c r="A7" s="17"/>
      <c r="B7" s="3"/>
      <c r="C7" s="4"/>
      <c r="D7" s="12"/>
      <c r="E7" s="4"/>
      <c r="F7" s="65"/>
      <c r="G7" s="4"/>
      <c r="H7" s="10"/>
      <c r="I7" s="3"/>
      <c r="J7" s="1"/>
      <c r="K7" s="3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40" priority="1" operator="containsText" text="見積！">
      <formula>NOT(ISERROR(SEARCH("見積！",A1)))</formula>
    </cfRule>
  </conditionalFormatting>
  <conditionalFormatting sqref="A4:A1048576">
    <cfRule type="containsText" dxfId="139" priority="4" operator="containsText" text="着手">
      <formula>NOT(ISERROR(SEARCH("着手",A4)))</formula>
    </cfRule>
    <cfRule type="containsText" dxfId="138" priority="5" operator="containsText" text="見積完了">
      <formula>NOT(ISERROR(SEARCH("見積完了",A4)))</formula>
    </cfRule>
    <cfRule type="containsText" dxfId="137" priority="6" operator="containsText" text="中止">
      <formula>NOT(ISERROR(SEARCH("中止",A4)))</formula>
    </cfRule>
    <cfRule type="containsText" dxfId="136" priority="7" operator="containsText" text="保留">
      <formula>NOT(ISERROR(SEARCH("保留",A4)))</formula>
    </cfRule>
    <cfRule type="containsText" dxfId="135" priority="8" operator="containsText" text="進行中">
      <formula>NOT(ISERROR(SEARCH("進行中",A4)))</formula>
    </cfRule>
    <cfRule type="containsText" dxfId="134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I1:I1048576 K1:K1048576 C1:C1048576 L1:L1048576 G2:G1048576" xr:uid="{655EB41A-DDB2-4D03-88E2-F6E5F7849E0B}"/>
    <dataValidation imeMode="off" allowBlank="1" showInputMessage="1" showErrorMessage="1" sqref="G1 B1:B1048576 D1:F1048576 H1:H1048576 J1:J1048576" xr:uid="{8E6CA05D-4317-4EF0-93DF-9CFF1085FD76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97EEC3-7D72-4C63-8C65-43C7A4AC6767}">
          <x14:formula1>
            <xm:f>タスク!$B$3:$B$14</xm:f>
          </x14:formula1>
          <xm:sqref>A4:A1048576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0146-2CA7-427D-8370-6F636C1423E0}">
  <sheetPr codeName="Sheet8">
    <pageSetUpPr fitToPage="1"/>
  </sheetPr>
  <dimension ref="A1:M106"/>
  <sheetViews>
    <sheetView tabSelected="1" zoomScale="130" zoomScaleNormal="130" workbookViewId="0">
      <pane ySplit="3" topLeftCell="A64" activePane="bottomLeft" state="frozen"/>
      <selection activeCell="A11" sqref="A11"/>
      <selection pane="bottomLeft" activeCell="B3" sqref="A3:XFD64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110</v>
      </c>
      <c r="D4" s="58">
        <v>16107028</v>
      </c>
      <c r="E4" s="4" t="s">
        <v>111</v>
      </c>
      <c r="F4" s="65" t="s">
        <v>31</v>
      </c>
      <c r="G4" s="4" t="s">
        <v>112</v>
      </c>
      <c r="H4" s="10"/>
      <c r="I4" s="3" t="s">
        <v>33</v>
      </c>
      <c r="J4" s="1">
        <v>44903</v>
      </c>
      <c r="K4" s="3" t="s">
        <v>34</v>
      </c>
    </row>
    <row r="5" spans="1:13" s="8" customFormat="1" hidden="1">
      <c r="A5" s="17" t="s">
        <v>28</v>
      </c>
      <c r="B5" s="3">
        <v>2</v>
      </c>
      <c r="C5" s="4" t="s">
        <v>113</v>
      </c>
      <c r="D5" s="12">
        <v>16107033</v>
      </c>
      <c r="E5" s="4" t="s">
        <v>114</v>
      </c>
      <c r="F5" s="65" t="s">
        <v>115</v>
      </c>
      <c r="G5" s="4" t="s">
        <v>116</v>
      </c>
      <c r="H5" s="10"/>
      <c r="I5" s="3" t="s">
        <v>33</v>
      </c>
      <c r="J5" s="1">
        <v>44923</v>
      </c>
      <c r="K5" s="3" t="s">
        <v>34</v>
      </c>
      <c r="L5" s="5"/>
      <c r="M5"/>
    </row>
    <row r="6" spans="1:13" s="8" customFormat="1" hidden="1">
      <c r="A6" s="17" t="s">
        <v>28</v>
      </c>
      <c r="B6" s="3">
        <v>3</v>
      </c>
      <c r="C6" s="4" t="s">
        <v>113</v>
      </c>
      <c r="D6" s="12">
        <v>16107034</v>
      </c>
      <c r="E6" s="4" t="s">
        <v>117</v>
      </c>
      <c r="F6" s="65" t="s">
        <v>118</v>
      </c>
      <c r="G6" s="4" t="s">
        <v>119</v>
      </c>
      <c r="H6" s="10"/>
      <c r="I6" s="3" t="s">
        <v>33</v>
      </c>
      <c r="J6" s="1">
        <v>44923</v>
      </c>
      <c r="K6" s="3" t="s">
        <v>34</v>
      </c>
      <c r="L6" s="5"/>
      <c r="M6"/>
    </row>
    <row r="7" spans="1:13" s="8" customFormat="1" hidden="1">
      <c r="A7" s="17" t="s">
        <v>28</v>
      </c>
      <c r="B7" s="3">
        <v>4</v>
      </c>
      <c r="C7" s="4" t="s">
        <v>113</v>
      </c>
      <c r="D7" s="12">
        <v>16107035</v>
      </c>
      <c r="E7" s="4" t="s">
        <v>120</v>
      </c>
      <c r="F7" s="65" t="s">
        <v>121</v>
      </c>
      <c r="G7" s="4" t="s">
        <v>122</v>
      </c>
      <c r="H7" s="10"/>
      <c r="I7" s="3" t="s">
        <v>33</v>
      </c>
      <c r="J7" s="1">
        <v>44923</v>
      </c>
      <c r="K7" s="3" t="s">
        <v>34</v>
      </c>
      <c r="L7" s="5"/>
      <c r="M7"/>
    </row>
    <row r="8" spans="1:13" s="8" customFormat="1" hidden="1">
      <c r="A8" s="17" t="s">
        <v>28</v>
      </c>
      <c r="B8" s="3">
        <v>5</v>
      </c>
      <c r="C8" s="4" t="s">
        <v>113</v>
      </c>
      <c r="D8" s="12">
        <v>16107036</v>
      </c>
      <c r="E8" s="4" t="s">
        <v>123</v>
      </c>
      <c r="F8" s="65" t="s">
        <v>124</v>
      </c>
      <c r="G8" s="4" t="s">
        <v>125</v>
      </c>
      <c r="H8" s="10"/>
      <c r="I8" s="3" t="s">
        <v>33</v>
      </c>
      <c r="J8" s="1">
        <v>44923</v>
      </c>
      <c r="K8" s="3" t="s">
        <v>34</v>
      </c>
      <c r="L8" s="5"/>
      <c r="M8"/>
    </row>
    <row r="9" spans="1:13" s="8" customFormat="1" hidden="1">
      <c r="A9" s="17" t="s">
        <v>28</v>
      </c>
      <c r="B9" s="3">
        <v>6</v>
      </c>
      <c r="C9" s="4" t="s">
        <v>113</v>
      </c>
      <c r="D9" s="12">
        <v>16107037</v>
      </c>
      <c r="E9" s="4" t="s">
        <v>126</v>
      </c>
      <c r="F9" s="65" t="s">
        <v>127</v>
      </c>
      <c r="G9" s="4" t="s">
        <v>128</v>
      </c>
      <c r="H9" s="10"/>
      <c r="I9" s="3" t="s">
        <v>33</v>
      </c>
      <c r="J9" s="1">
        <v>44923</v>
      </c>
      <c r="K9" s="3" t="s">
        <v>34</v>
      </c>
      <c r="L9" s="5"/>
      <c r="M9"/>
    </row>
    <row r="10" spans="1:13" s="8" customFormat="1" hidden="1">
      <c r="A10" s="17" t="s">
        <v>28</v>
      </c>
      <c r="B10" s="3">
        <v>7</v>
      </c>
      <c r="C10" s="4" t="s">
        <v>110</v>
      </c>
      <c r="D10" s="12">
        <v>16107038</v>
      </c>
      <c r="E10" s="4" t="s">
        <v>129</v>
      </c>
      <c r="F10" s="65" t="s">
        <v>31</v>
      </c>
      <c r="G10" s="4" t="s">
        <v>112</v>
      </c>
      <c r="H10" s="10"/>
      <c r="I10" s="3" t="s">
        <v>74</v>
      </c>
      <c r="J10" s="1">
        <v>44937</v>
      </c>
      <c r="K10" s="3" t="s">
        <v>34</v>
      </c>
      <c r="L10" s="5"/>
      <c r="M10"/>
    </row>
    <row r="11" spans="1:13" s="8" customFormat="1" hidden="1">
      <c r="A11" s="17" t="s">
        <v>28</v>
      </c>
      <c r="B11" s="3">
        <v>8</v>
      </c>
      <c r="C11" s="4" t="s">
        <v>113</v>
      </c>
      <c r="D11" s="12">
        <v>16107039</v>
      </c>
      <c r="E11" s="4" t="s">
        <v>130</v>
      </c>
      <c r="F11" s="65">
        <v>8295</v>
      </c>
      <c r="G11" s="4" t="s">
        <v>116</v>
      </c>
      <c r="H11" s="10"/>
      <c r="I11" s="3" t="s">
        <v>74</v>
      </c>
      <c r="J11" s="1">
        <v>44965</v>
      </c>
      <c r="K11" s="3" t="s">
        <v>34</v>
      </c>
      <c r="L11" s="5"/>
      <c r="M11"/>
    </row>
    <row r="12" spans="1:13" s="8" customFormat="1" hidden="1">
      <c r="A12" s="17" t="s">
        <v>28</v>
      </c>
      <c r="B12" s="3">
        <v>9</v>
      </c>
      <c r="C12" s="4" t="s">
        <v>113</v>
      </c>
      <c r="D12" s="12">
        <v>16107040</v>
      </c>
      <c r="E12" s="4" t="s">
        <v>131</v>
      </c>
      <c r="F12" s="65">
        <v>8366</v>
      </c>
      <c r="G12" s="4" t="s">
        <v>119</v>
      </c>
      <c r="H12" s="10"/>
      <c r="I12" s="3" t="s">
        <v>74</v>
      </c>
      <c r="J12" s="1">
        <v>44965</v>
      </c>
      <c r="K12" s="3" t="s">
        <v>34</v>
      </c>
      <c r="L12" s="5"/>
      <c r="M12"/>
    </row>
    <row r="13" spans="1:13" s="8" customFormat="1" hidden="1">
      <c r="A13" s="17" t="s">
        <v>28</v>
      </c>
      <c r="B13" s="3">
        <v>10</v>
      </c>
      <c r="C13" s="4" t="s">
        <v>113</v>
      </c>
      <c r="D13" s="12">
        <v>16107041</v>
      </c>
      <c r="E13" s="4" t="s">
        <v>132</v>
      </c>
      <c r="F13" s="65">
        <v>8370</v>
      </c>
      <c r="G13" s="4" t="s">
        <v>122</v>
      </c>
      <c r="H13" s="10"/>
      <c r="I13" s="3" t="s">
        <v>74</v>
      </c>
      <c r="J13" s="1">
        <v>44965</v>
      </c>
      <c r="K13" s="3" t="s">
        <v>34</v>
      </c>
      <c r="L13" s="5"/>
      <c r="M13"/>
    </row>
    <row r="14" spans="1:13" s="8" customFormat="1" hidden="1">
      <c r="A14" s="17" t="s">
        <v>28</v>
      </c>
      <c r="B14" s="3">
        <v>11</v>
      </c>
      <c r="C14" s="4" t="s">
        <v>113</v>
      </c>
      <c r="D14" s="12">
        <v>16107042</v>
      </c>
      <c r="E14" s="4" t="s">
        <v>133</v>
      </c>
      <c r="F14" s="65">
        <v>8293</v>
      </c>
      <c r="G14" s="4" t="s">
        <v>125</v>
      </c>
      <c r="H14" s="10"/>
      <c r="I14" s="3" t="s">
        <v>74</v>
      </c>
      <c r="J14" s="1">
        <v>44965</v>
      </c>
      <c r="K14" s="3" t="s">
        <v>34</v>
      </c>
      <c r="L14" s="5"/>
      <c r="M14"/>
    </row>
    <row r="15" spans="1:13" s="8" customFormat="1" hidden="1">
      <c r="A15" s="17" t="s">
        <v>28</v>
      </c>
      <c r="B15" s="3">
        <v>12</v>
      </c>
      <c r="C15" s="4" t="s">
        <v>113</v>
      </c>
      <c r="D15" s="12">
        <v>16107043</v>
      </c>
      <c r="E15" s="4" t="s">
        <v>134</v>
      </c>
      <c r="F15" s="65">
        <v>8294</v>
      </c>
      <c r="G15" s="4" t="s">
        <v>128</v>
      </c>
      <c r="H15" s="10"/>
      <c r="I15" s="3" t="s">
        <v>74</v>
      </c>
      <c r="J15" s="1">
        <v>44965</v>
      </c>
      <c r="K15" s="3" t="s">
        <v>34</v>
      </c>
      <c r="L15" s="5"/>
      <c r="M15"/>
    </row>
    <row r="16" spans="1:13" s="8" customFormat="1" hidden="1">
      <c r="A16" s="17" t="s">
        <v>28</v>
      </c>
      <c r="B16" s="3">
        <v>13</v>
      </c>
      <c r="C16" s="4" t="s">
        <v>113</v>
      </c>
      <c r="D16" s="12">
        <v>16107044</v>
      </c>
      <c r="E16" s="4" t="s">
        <v>135</v>
      </c>
      <c r="F16" s="65">
        <v>8606</v>
      </c>
      <c r="G16" s="4" t="s">
        <v>116</v>
      </c>
      <c r="H16" s="10"/>
      <c r="I16" s="3" t="s">
        <v>79</v>
      </c>
      <c r="J16" s="1">
        <v>44984</v>
      </c>
      <c r="K16" s="3" t="s">
        <v>34</v>
      </c>
      <c r="L16" s="5"/>
      <c r="M16"/>
    </row>
    <row r="17" spans="1:13" s="8" customFormat="1" hidden="1">
      <c r="A17" s="17" t="s">
        <v>28</v>
      </c>
      <c r="B17" s="3">
        <v>14</v>
      </c>
      <c r="C17" s="4" t="s">
        <v>113</v>
      </c>
      <c r="D17" s="12">
        <v>16107045</v>
      </c>
      <c r="E17" s="4"/>
      <c r="F17" s="65">
        <v>8608</v>
      </c>
      <c r="G17" s="4" t="s">
        <v>119</v>
      </c>
      <c r="H17" s="10"/>
      <c r="I17" s="3" t="s">
        <v>79</v>
      </c>
      <c r="J17" s="1">
        <v>44986</v>
      </c>
      <c r="K17" s="3" t="s">
        <v>34</v>
      </c>
      <c r="L17" s="5"/>
      <c r="M17"/>
    </row>
    <row r="18" spans="1:13" s="8" customFormat="1" hidden="1">
      <c r="A18" s="17" t="s">
        <v>28</v>
      </c>
      <c r="B18" s="3">
        <v>15</v>
      </c>
      <c r="C18" s="4" t="s">
        <v>113</v>
      </c>
      <c r="D18" s="12">
        <v>16107046</v>
      </c>
      <c r="E18" s="4"/>
      <c r="F18" s="65">
        <v>8610</v>
      </c>
      <c r="G18" s="4" t="s">
        <v>122</v>
      </c>
      <c r="H18" s="10"/>
      <c r="I18" s="3" t="s">
        <v>79</v>
      </c>
      <c r="J18" s="1">
        <v>44986</v>
      </c>
      <c r="K18" s="3" t="s">
        <v>34</v>
      </c>
      <c r="L18" s="5"/>
      <c r="M18"/>
    </row>
    <row r="19" spans="1:13" s="8" customFormat="1" hidden="1">
      <c r="A19" s="17" t="s">
        <v>28</v>
      </c>
      <c r="B19" s="3">
        <v>16</v>
      </c>
      <c r="C19" s="4" t="s">
        <v>113</v>
      </c>
      <c r="D19" s="12">
        <v>16107047</v>
      </c>
      <c r="E19" s="4" t="s">
        <v>136</v>
      </c>
      <c r="F19" s="65">
        <v>8604</v>
      </c>
      <c r="G19" s="4" t="s">
        <v>125</v>
      </c>
      <c r="H19" s="10"/>
      <c r="I19" s="3" t="s">
        <v>79</v>
      </c>
      <c r="J19" s="1">
        <v>44984</v>
      </c>
      <c r="K19" s="3" t="s">
        <v>34</v>
      </c>
      <c r="L19" s="5"/>
      <c r="M19"/>
    </row>
    <row r="20" spans="1:13" s="8" customFormat="1" hidden="1">
      <c r="A20" s="17" t="s">
        <v>28</v>
      </c>
      <c r="B20" s="3">
        <v>17</v>
      </c>
      <c r="C20" s="4" t="s">
        <v>113</v>
      </c>
      <c r="D20" s="12">
        <v>16107048</v>
      </c>
      <c r="E20" s="4" t="s">
        <v>137</v>
      </c>
      <c r="F20" s="65">
        <v>8605</v>
      </c>
      <c r="G20" s="4" t="s">
        <v>128</v>
      </c>
      <c r="H20" s="10"/>
      <c r="I20" s="3" t="s">
        <v>79</v>
      </c>
      <c r="J20" s="1">
        <v>44984</v>
      </c>
      <c r="K20" s="3" t="s">
        <v>34</v>
      </c>
      <c r="L20" s="5"/>
      <c r="M20"/>
    </row>
    <row r="21" spans="1:13" s="8" customFormat="1" hidden="1">
      <c r="A21" s="17" t="s">
        <v>28</v>
      </c>
      <c r="B21" s="3">
        <v>18</v>
      </c>
      <c r="C21" s="4" t="s">
        <v>110</v>
      </c>
      <c r="D21" s="12">
        <v>16107049</v>
      </c>
      <c r="E21" s="4"/>
      <c r="F21" s="65" t="s">
        <v>31</v>
      </c>
      <c r="G21" s="4" t="s">
        <v>112</v>
      </c>
      <c r="H21" s="10"/>
      <c r="I21" s="3" t="s">
        <v>79</v>
      </c>
      <c r="J21" s="1">
        <v>44966</v>
      </c>
      <c r="K21" s="3" t="s">
        <v>34</v>
      </c>
      <c r="L21" s="5"/>
      <c r="M21"/>
    </row>
    <row r="22" spans="1:13" s="8" customFormat="1" hidden="1">
      <c r="A22" s="17" t="s">
        <v>28</v>
      </c>
      <c r="B22" s="3">
        <v>19</v>
      </c>
      <c r="C22" s="4" t="s">
        <v>110</v>
      </c>
      <c r="D22" s="12">
        <v>16107050</v>
      </c>
      <c r="E22" s="4"/>
      <c r="F22" s="65" t="s">
        <v>31</v>
      </c>
      <c r="G22" s="4" t="s">
        <v>112</v>
      </c>
      <c r="H22" s="10"/>
      <c r="I22" s="3" t="s">
        <v>40</v>
      </c>
      <c r="J22" s="1">
        <v>44999</v>
      </c>
      <c r="K22" s="3" t="s">
        <v>34</v>
      </c>
      <c r="L22" s="5"/>
      <c r="M22"/>
    </row>
    <row r="23" spans="1:13" s="8" customFormat="1" hidden="1">
      <c r="A23" s="17" t="s">
        <v>28</v>
      </c>
      <c r="B23" s="3">
        <v>20</v>
      </c>
      <c r="C23" s="4" t="s">
        <v>110</v>
      </c>
      <c r="D23" s="12">
        <v>16107051</v>
      </c>
      <c r="E23" s="4"/>
      <c r="F23" s="65" t="s">
        <v>31</v>
      </c>
      <c r="G23" s="4" t="s">
        <v>112</v>
      </c>
      <c r="H23" s="10"/>
      <c r="I23" s="3" t="s">
        <v>41</v>
      </c>
      <c r="J23" s="1">
        <v>45023</v>
      </c>
      <c r="K23" s="3" t="s">
        <v>34</v>
      </c>
      <c r="L23" s="5"/>
      <c r="M23"/>
    </row>
    <row r="24" spans="1:13" s="8" customFormat="1" hidden="1">
      <c r="A24" s="17" t="s">
        <v>28</v>
      </c>
      <c r="B24" s="3">
        <v>21</v>
      </c>
      <c r="C24" s="4" t="s">
        <v>110</v>
      </c>
      <c r="D24" s="12">
        <v>16107052</v>
      </c>
      <c r="E24" s="4"/>
      <c r="F24" s="65" t="s">
        <v>31</v>
      </c>
      <c r="G24" s="4" t="s">
        <v>112</v>
      </c>
      <c r="H24" s="10"/>
      <c r="I24" s="3" t="s">
        <v>138</v>
      </c>
      <c r="J24" s="1">
        <v>45063</v>
      </c>
      <c r="K24" s="3" t="s">
        <v>34</v>
      </c>
      <c r="L24" s="5"/>
      <c r="M24"/>
    </row>
    <row r="25" spans="1:13" s="8" customFormat="1" hidden="1">
      <c r="A25" s="17" t="s">
        <v>28</v>
      </c>
      <c r="B25" s="3">
        <v>22</v>
      </c>
      <c r="C25" s="4" t="s">
        <v>110</v>
      </c>
      <c r="D25" s="12">
        <v>16107053</v>
      </c>
      <c r="E25" s="4"/>
      <c r="F25" s="65" t="s">
        <v>31</v>
      </c>
      <c r="G25" s="4" t="s">
        <v>112</v>
      </c>
      <c r="H25" s="10"/>
      <c r="I25" s="3" t="s">
        <v>56</v>
      </c>
      <c r="J25" s="1">
        <v>45085</v>
      </c>
      <c r="K25" s="3" t="s">
        <v>34</v>
      </c>
      <c r="L25" s="5"/>
      <c r="M25"/>
    </row>
    <row r="26" spans="1:13" s="8" customFormat="1" hidden="1">
      <c r="A26" s="17" t="s">
        <v>28</v>
      </c>
      <c r="B26" s="3">
        <v>23</v>
      </c>
      <c r="C26" s="4" t="s">
        <v>110</v>
      </c>
      <c r="D26" s="12">
        <v>16107054</v>
      </c>
      <c r="E26" s="4"/>
      <c r="F26" s="65" t="s">
        <v>31</v>
      </c>
      <c r="G26" s="4" t="s">
        <v>112</v>
      </c>
      <c r="H26" s="10"/>
      <c r="I26" s="3" t="s">
        <v>84</v>
      </c>
      <c r="J26" s="1">
        <v>45112</v>
      </c>
      <c r="K26" s="3" t="s">
        <v>34</v>
      </c>
      <c r="L26" s="5"/>
      <c r="M26"/>
    </row>
    <row r="27" spans="1:13" s="8" customFormat="1" hidden="1">
      <c r="A27" s="17" t="s">
        <v>28</v>
      </c>
      <c r="B27" s="3">
        <v>24</v>
      </c>
      <c r="C27" s="4" t="s">
        <v>110</v>
      </c>
      <c r="D27" s="12">
        <v>16107055</v>
      </c>
      <c r="E27" s="4"/>
      <c r="F27" s="65" t="s">
        <v>31</v>
      </c>
      <c r="G27" s="4" t="s">
        <v>112</v>
      </c>
      <c r="H27" s="10"/>
      <c r="I27" s="3" t="s">
        <v>468</v>
      </c>
      <c r="J27" s="1">
        <v>45148</v>
      </c>
      <c r="K27" s="3" t="s">
        <v>34</v>
      </c>
      <c r="L27" s="5"/>
      <c r="M27"/>
    </row>
    <row r="28" spans="1:13" s="8" customFormat="1" hidden="1">
      <c r="A28" s="17" t="s">
        <v>28</v>
      </c>
      <c r="B28" s="3">
        <v>25</v>
      </c>
      <c r="C28" s="4" t="s">
        <v>110</v>
      </c>
      <c r="D28" s="12">
        <v>16107056</v>
      </c>
      <c r="E28" s="4"/>
      <c r="F28" s="65" t="s">
        <v>31</v>
      </c>
      <c r="G28" s="4" t="s">
        <v>112</v>
      </c>
      <c r="H28" s="10"/>
      <c r="I28" s="3" t="s">
        <v>478</v>
      </c>
      <c r="J28" s="144">
        <v>45183</v>
      </c>
      <c r="K28" s="3" t="s">
        <v>477</v>
      </c>
      <c r="L28" s="5"/>
      <c r="M28"/>
    </row>
    <row r="29" spans="1:13" s="8" customFormat="1" hidden="1">
      <c r="A29" s="17" t="s">
        <v>28</v>
      </c>
      <c r="B29" s="3">
        <v>26</v>
      </c>
      <c r="C29" s="4" t="s">
        <v>110</v>
      </c>
      <c r="D29" s="12">
        <v>16107057</v>
      </c>
      <c r="E29" s="4"/>
      <c r="F29" s="65" t="s">
        <v>31</v>
      </c>
      <c r="G29" s="4" t="s">
        <v>112</v>
      </c>
      <c r="H29" s="10"/>
      <c r="I29" s="3" t="s">
        <v>48</v>
      </c>
      <c r="J29" s="144">
        <v>45210</v>
      </c>
      <c r="K29" s="3" t="s">
        <v>477</v>
      </c>
      <c r="L29" s="5"/>
      <c r="M29"/>
    </row>
    <row r="30" spans="1:13" s="8" customFormat="1" hidden="1">
      <c r="A30" s="17" t="s">
        <v>28</v>
      </c>
      <c r="B30" s="3">
        <v>27</v>
      </c>
      <c r="C30" s="4" t="s">
        <v>110</v>
      </c>
      <c r="D30" s="12">
        <v>16107058</v>
      </c>
      <c r="E30" s="4"/>
      <c r="F30" s="65" t="s">
        <v>31</v>
      </c>
      <c r="G30" s="4" t="s">
        <v>112</v>
      </c>
      <c r="H30" s="10"/>
      <c r="I30" s="3" t="s">
        <v>49</v>
      </c>
      <c r="J30" s="144">
        <v>45243</v>
      </c>
      <c r="K30" s="3" t="s">
        <v>477</v>
      </c>
      <c r="L30" s="5"/>
      <c r="M30"/>
    </row>
    <row r="31" spans="1:13" s="8" customFormat="1" hidden="1">
      <c r="A31" s="17"/>
      <c r="B31" s="3">
        <v>28</v>
      </c>
      <c r="C31" s="4" t="s">
        <v>110</v>
      </c>
      <c r="D31" s="12">
        <v>16107059</v>
      </c>
      <c r="E31" s="4"/>
      <c r="F31" s="65" t="s">
        <v>31</v>
      </c>
      <c r="G31" s="4" t="s">
        <v>112</v>
      </c>
      <c r="H31" s="10"/>
      <c r="I31" s="3" t="s">
        <v>33</v>
      </c>
      <c r="J31" s="1">
        <v>45266</v>
      </c>
      <c r="K31" s="3" t="s">
        <v>477</v>
      </c>
      <c r="L31" s="4"/>
      <c r="M31"/>
    </row>
    <row r="32" spans="1:13" s="8" customFormat="1" hidden="1">
      <c r="A32" s="17"/>
      <c r="B32" s="3">
        <v>29</v>
      </c>
      <c r="C32" s="4" t="s">
        <v>110</v>
      </c>
      <c r="D32" s="12">
        <v>16107060</v>
      </c>
      <c r="E32" s="4"/>
      <c r="F32" s="65" t="s">
        <v>503</v>
      </c>
      <c r="G32" s="4" t="s">
        <v>504</v>
      </c>
      <c r="H32" s="10"/>
      <c r="I32" s="3" t="s">
        <v>33</v>
      </c>
      <c r="J32" s="1">
        <v>45275</v>
      </c>
      <c r="K32" s="3" t="s">
        <v>477</v>
      </c>
      <c r="L32" s="4"/>
      <c r="M32"/>
    </row>
    <row r="33" spans="1:13" s="8" customFormat="1" hidden="1">
      <c r="A33" s="17"/>
      <c r="B33" s="3">
        <v>30</v>
      </c>
      <c r="C33" s="4" t="s">
        <v>110</v>
      </c>
      <c r="D33" s="12">
        <v>16107061</v>
      </c>
      <c r="E33" s="4"/>
      <c r="F33" s="65" t="s">
        <v>31</v>
      </c>
      <c r="G33" s="4" t="s">
        <v>112</v>
      </c>
      <c r="H33" s="10"/>
      <c r="I33" s="3" t="s">
        <v>518</v>
      </c>
      <c r="J33" s="144">
        <v>45309</v>
      </c>
      <c r="K33" s="3" t="s">
        <v>477</v>
      </c>
      <c r="L33" s="4"/>
      <c r="M33"/>
    </row>
    <row r="34" spans="1:13" s="8" customFormat="1" hidden="1">
      <c r="A34" s="149"/>
      <c r="B34" s="150">
        <v>31</v>
      </c>
      <c r="C34" s="4" t="s">
        <v>110</v>
      </c>
      <c r="D34" s="156">
        <v>16107062</v>
      </c>
      <c r="E34" s="151"/>
      <c r="F34" s="153">
        <v>11801</v>
      </c>
      <c r="G34" s="4" t="s">
        <v>504</v>
      </c>
      <c r="H34" s="154"/>
      <c r="I34" s="3" t="s">
        <v>518</v>
      </c>
      <c r="J34" s="144">
        <v>45309</v>
      </c>
      <c r="K34" s="3" t="s">
        <v>477</v>
      </c>
      <c r="L34" s="4"/>
      <c r="M34"/>
    </row>
    <row r="35" spans="1:13" hidden="1">
      <c r="A35" s="3"/>
      <c r="B35" s="3">
        <v>32</v>
      </c>
      <c r="C35" s="4" t="s">
        <v>110</v>
      </c>
      <c r="D35" s="12">
        <v>16107063</v>
      </c>
      <c r="E35" s="4"/>
      <c r="F35" s="65" t="s">
        <v>31</v>
      </c>
      <c r="G35" s="4" t="s">
        <v>112</v>
      </c>
      <c r="H35" s="10"/>
      <c r="I35" s="3" t="s">
        <v>217</v>
      </c>
      <c r="J35" s="144">
        <v>45328</v>
      </c>
      <c r="K35" s="3" t="s">
        <v>477</v>
      </c>
      <c r="L35" s="4"/>
    </row>
    <row r="36" spans="1:13" hidden="1">
      <c r="A36" s="3"/>
      <c r="B36" s="3">
        <v>33</v>
      </c>
      <c r="C36" s="4" t="s">
        <v>110</v>
      </c>
      <c r="D36" s="12">
        <v>16107064</v>
      </c>
      <c r="E36" s="4"/>
      <c r="F36" s="65">
        <v>12166</v>
      </c>
      <c r="G36" s="4" t="s">
        <v>504</v>
      </c>
      <c r="H36" s="10"/>
      <c r="I36" s="3" t="s">
        <v>217</v>
      </c>
      <c r="J36" s="144">
        <v>45341</v>
      </c>
      <c r="K36" s="3" t="s">
        <v>477</v>
      </c>
      <c r="L36" s="4"/>
    </row>
    <row r="37" spans="1:13" hidden="1">
      <c r="A37" s="3"/>
      <c r="B37" s="3">
        <v>34</v>
      </c>
      <c r="C37" s="4" t="s">
        <v>110</v>
      </c>
      <c r="D37" s="12">
        <v>16107065</v>
      </c>
      <c r="E37" s="4"/>
      <c r="F37" s="65" t="s">
        <v>31</v>
      </c>
      <c r="G37" s="4" t="s">
        <v>112</v>
      </c>
      <c r="H37" s="10"/>
      <c r="I37" s="3" t="s">
        <v>531</v>
      </c>
      <c r="J37" s="144">
        <v>45364</v>
      </c>
      <c r="K37" s="3" t="s">
        <v>477</v>
      </c>
      <c r="L37" s="4"/>
    </row>
    <row r="38" spans="1:13" hidden="1">
      <c r="A38" s="3"/>
      <c r="B38" s="3">
        <v>35</v>
      </c>
      <c r="C38" s="4" t="s">
        <v>110</v>
      </c>
      <c r="D38" s="12">
        <v>16107066</v>
      </c>
      <c r="E38" s="4"/>
      <c r="F38" s="65" t="s">
        <v>537</v>
      </c>
      <c r="G38" s="4" t="s">
        <v>504</v>
      </c>
      <c r="H38" s="10"/>
      <c r="I38" s="3" t="s">
        <v>531</v>
      </c>
      <c r="J38" s="144">
        <v>45377</v>
      </c>
      <c r="K38" s="3" t="s">
        <v>477</v>
      </c>
      <c r="L38" s="4"/>
    </row>
    <row r="39" spans="1:13" hidden="1">
      <c r="A39" s="3"/>
      <c r="B39" s="3">
        <v>36</v>
      </c>
      <c r="C39" s="4" t="s">
        <v>110</v>
      </c>
      <c r="D39" s="12">
        <v>16107067</v>
      </c>
      <c r="E39" s="4"/>
      <c r="F39" s="65" t="s">
        <v>539</v>
      </c>
      <c r="G39" s="4" t="s">
        <v>538</v>
      </c>
      <c r="H39" s="10"/>
      <c r="I39" s="3" t="s">
        <v>531</v>
      </c>
      <c r="J39" s="144">
        <v>45377</v>
      </c>
      <c r="K39" s="3" t="s">
        <v>477</v>
      </c>
      <c r="L39" s="4"/>
    </row>
    <row r="40" spans="1:13" hidden="1">
      <c r="A40" s="3"/>
      <c r="B40" s="3">
        <v>37</v>
      </c>
      <c r="C40" s="4" t="s">
        <v>110</v>
      </c>
      <c r="D40" s="12">
        <v>16107068</v>
      </c>
      <c r="E40" s="4"/>
      <c r="F40" s="65" t="s">
        <v>541</v>
      </c>
      <c r="G40" s="4" t="s">
        <v>540</v>
      </c>
      <c r="H40" s="10"/>
      <c r="I40" s="3" t="s">
        <v>531</v>
      </c>
      <c r="J40" s="144">
        <v>45377</v>
      </c>
      <c r="K40" s="3" t="s">
        <v>477</v>
      </c>
      <c r="L40" s="4"/>
    </row>
    <row r="41" spans="1:13" hidden="1">
      <c r="A41" s="3"/>
      <c r="B41" s="3">
        <v>38</v>
      </c>
      <c r="C41" s="4" t="s">
        <v>110</v>
      </c>
      <c r="D41" s="12">
        <v>16107069</v>
      </c>
      <c r="E41" s="4"/>
      <c r="F41" s="65" t="s">
        <v>542</v>
      </c>
      <c r="G41" s="4" t="s">
        <v>543</v>
      </c>
      <c r="H41" s="10"/>
      <c r="I41" s="3" t="s">
        <v>531</v>
      </c>
      <c r="J41" s="144">
        <v>45377</v>
      </c>
      <c r="K41" s="3" t="s">
        <v>477</v>
      </c>
      <c r="L41" s="4"/>
    </row>
    <row r="42" spans="1:13" hidden="1">
      <c r="A42" s="3"/>
      <c r="B42" s="3">
        <v>39</v>
      </c>
      <c r="C42" s="4" t="s">
        <v>110</v>
      </c>
      <c r="D42" s="12">
        <v>16107070</v>
      </c>
      <c r="E42" s="4"/>
      <c r="F42" s="65" t="s">
        <v>31</v>
      </c>
      <c r="G42" s="4" t="s">
        <v>112</v>
      </c>
      <c r="H42" s="10"/>
      <c r="I42" s="3" t="s">
        <v>562</v>
      </c>
      <c r="J42" s="144">
        <v>45390</v>
      </c>
      <c r="K42" s="3" t="s">
        <v>477</v>
      </c>
      <c r="L42" s="4"/>
    </row>
    <row r="43" spans="1:13" hidden="1">
      <c r="A43" s="3"/>
      <c r="B43" s="3">
        <v>40</v>
      </c>
      <c r="C43" s="4" t="s">
        <v>110</v>
      </c>
      <c r="D43" s="12">
        <v>16107071</v>
      </c>
      <c r="E43" s="4"/>
      <c r="F43" s="65" t="s">
        <v>586</v>
      </c>
      <c r="G43" s="4" t="s">
        <v>543</v>
      </c>
      <c r="H43" s="10"/>
      <c r="I43" s="3" t="s">
        <v>562</v>
      </c>
      <c r="J43" s="144">
        <v>45401</v>
      </c>
      <c r="K43" s="3" t="s">
        <v>477</v>
      </c>
      <c r="L43" s="4"/>
    </row>
    <row r="44" spans="1:13" hidden="1">
      <c r="A44" s="3"/>
      <c r="B44" s="3">
        <v>41</v>
      </c>
      <c r="C44" s="4" t="s">
        <v>110</v>
      </c>
      <c r="D44" s="12">
        <v>16107072</v>
      </c>
      <c r="E44" s="4"/>
      <c r="F44" s="65" t="s">
        <v>587</v>
      </c>
      <c r="G44" s="4" t="s">
        <v>504</v>
      </c>
      <c r="H44" s="10"/>
      <c r="I44" s="3" t="s">
        <v>562</v>
      </c>
      <c r="J44" s="144">
        <v>45401</v>
      </c>
      <c r="K44" s="3" t="s">
        <v>477</v>
      </c>
      <c r="L44" s="4"/>
    </row>
    <row r="45" spans="1:13" hidden="1">
      <c r="A45" s="3"/>
      <c r="B45" s="3">
        <v>42</v>
      </c>
      <c r="C45" s="4" t="s">
        <v>110</v>
      </c>
      <c r="D45" s="12">
        <v>16107073</v>
      </c>
      <c r="E45" s="4"/>
      <c r="F45" s="65" t="s">
        <v>31</v>
      </c>
      <c r="G45" s="4" t="s">
        <v>112</v>
      </c>
      <c r="H45" s="10"/>
      <c r="I45" s="3" t="s">
        <v>156</v>
      </c>
      <c r="J45" s="144">
        <v>45422</v>
      </c>
      <c r="K45" s="3" t="s">
        <v>477</v>
      </c>
      <c r="L45" s="4"/>
    </row>
    <row r="46" spans="1:13" hidden="1">
      <c r="A46" s="3"/>
      <c r="B46" s="3">
        <v>43</v>
      </c>
      <c r="C46" s="4" t="s">
        <v>110</v>
      </c>
      <c r="D46" s="12">
        <v>16107074</v>
      </c>
      <c r="E46" s="4"/>
      <c r="F46" s="65" t="s">
        <v>605</v>
      </c>
      <c r="G46" s="4" t="s">
        <v>543</v>
      </c>
      <c r="H46" s="10"/>
      <c r="I46" s="3" t="s">
        <v>156</v>
      </c>
      <c r="J46" s="144">
        <v>45433</v>
      </c>
      <c r="K46" s="3" t="s">
        <v>477</v>
      </c>
      <c r="L46" s="4"/>
    </row>
    <row r="47" spans="1:13" hidden="1">
      <c r="A47" s="3"/>
      <c r="B47" s="3">
        <v>44</v>
      </c>
      <c r="C47" s="4" t="s">
        <v>110</v>
      </c>
      <c r="D47" s="12">
        <v>16107075</v>
      </c>
      <c r="E47" s="4"/>
      <c r="F47" s="65" t="s">
        <v>606</v>
      </c>
      <c r="G47" s="4" t="s">
        <v>504</v>
      </c>
      <c r="H47" s="10"/>
      <c r="I47" s="3" t="s">
        <v>156</v>
      </c>
      <c r="J47" s="144">
        <v>45433</v>
      </c>
      <c r="K47" s="3" t="s">
        <v>477</v>
      </c>
      <c r="L47" s="4"/>
    </row>
    <row r="48" spans="1:13" hidden="1">
      <c r="A48" s="3"/>
      <c r="B48" s="3">
        <v>45</v>
      </c>
      <c r="C48" s="4" t="s">
        <v>110</v>
      </c>
      <c r="D48" s="12">
        <v>16107076</v>
      </c>
      <c r="E48" s="4"/>
      <c r="F48" s="65" t="s">
        <v>31</v>
      </c>
      <c r="G48" s="4" t="s">
        <v>112</v>
      </c>
      <c r="H48" s="10"/>
      <c r="I48" s="3" t="s">
        <v>635</v>
      </c>
      <c r="J48" s="144">
        <v>45453</v>
      </c>
      <c r="K48" s="3" t="s">
        <v>477</v>
      </c>
      <c r="L48" s="4"/>
    </row>
    <row r="49" spans="1:12" hidden="1">
      <c r="A49" s="3"/>
      <c r="B49" s="3">
        <v>46</v>
      </c>
      <c r="C49" s="4" t="s">
        <v>110</v>
      </c>
      <c r="D49" s="12">
        <v>16107077</v>
      </c>
      <c r="E49" s="4"/>
      <c r="F49" s="65">
        <v>13158</v>
      </c>
      <c r="G49" s="4" t="s">
        <v>543</v>
      </c>
      <c r="H49" s="10"/>
      <c r="I49" s="3" t="s">
        <v>635</v>
      </c>
      <c r="J49" s="144">
        <v>45467</v>
      </c>
      <c r="K49" s="3" t="s">
        <v>477</v>
      </c>
      <c r="L49" s="4"/>
    </row>
    <row r="50" spans="1:12" hidden="1">
      <c r="A50" s="3"/>
      <c r="B50" s="3">
        <v>47</v>
      </c>
      <c r="C50" s="4" t="s">
        <v>110</v>
      </c>
      <c r="D50" s="12">
        <v>16107078</v>
      </c>
      <c r="E50" s="4"/>
      <c r="F50" s="65">
        <v>13260</v>
      </c>
      <c r="G50" s="4" t="s">
        <v>504</v>
      </c>
      <c r="H50" s="10"/>
      <c r="I50" s="3" t="s">
        <v>635</v>
      </c>
      <c r="J50" s="144">
        <v>45467</v>
      </c>
      <c r="K50" s="3" t="s">
        <v>477</v>
      </c>
      <c r="L50" s="4"/>
    </row>
    <row r="51" spans="1:12" hidden="1">
      <c r="A51" s="3"/>
      <c r="B51" s="3">
        <v>48</v>
      </c>
      <c r="C51" s="4" t="s">
        <v>110</v>
      </c>
      <c r="D51" s="12">
        <v>16107079</v>
      </c>
      <c r="E51" s="4"/>
      <c r="F51" s="65" t="s">
        <v>31</v>
      </c>
      <c r="G51" s="4" t="s">
        <v>112</v>
      </c>
      <c r="H51" s="10"/>
      <c r="I51" s="3" t="s">
        <v>641</v>
      </c>
      <c r="J51" s="144">
        <v>45481</v>
      </c>
      <c r="K51" s="3" t="s">
        <v>477</v>
      </c>
      <c r="L51" s="4"/>
    </row>
    <row r="52" spans="1:12" hidden="1">
      <c r="A52" s="3"/>
      <c r="B52" s="3">
        <v>49</v>
      </c>
      <c r="C52" s="4" t="s">
        <v>110</v>
      </c>
      <c r="D52" s="12">
        <v>16107080</v>
      </c>
      <c r="E52" s="4"/>
      <c r="F52" s="65">
        <v>13397</v>
      </c>
      <c r="G52" s="4" t="s">
        <v>543</v>
      </c>
      <c r="H52" s="10"/>
      <c r="I52" s="3" t="s">
        <v>84</v>
      </c>
      <c r="J52" s="12" t="s">
        <v>644</v>
      </c>
      <c r="K52" s="3" t="s">
        <v>477</v>
      </c>
      <c r="L52" s="4"/>
    </row>
    <row r="53" spans="1:12" hidden="1">
      <c r="A53" s="3"/>
      <c r="B53" s="3">
        <v>50</v>
      </c>
      <c r="C53" s="4" t="s">
        <v>110</v>
      </c>
      <c r="D53" s="12">
        <v>16107081</v>
      </c>
      <c r="E53" s="4"/>
      <c r="F53" s="65">
        <v>13587</v>
      </c>
      <c r="G53" s="4" t="s">
        <v>504</v>
      </c>
      <c r="H53" s="10"/>
      <c r="I53" s="3" t="s">
        <v>84</v>
      </c>
      <c r="J53" s="12" t="s">
        <v>644</v>
      </c>
      <c r="K53" s="3" t="s">
        <v>477</v>
      </c>
      <c r="L53" s="4"/>
    </row>
    <row r="54" spans="1:12" hidden="1">
      <c r="A54" s="3"/>
      <c r="B54" s="3">
        <v>51</v>
      </c>
      <c r="C54" s="4" t="s">
        <v>110</v>
      </c>
      <c r="D54" s="12">
        <v>16107082</v>
      </c>
      <c r="E54" s="4"/>
      <c r="F54" s="65" t="s">
        <v>31</v>
      </c>
      <c r="G54" s="4" t="s">
        <v>112</v>
      </c>
      <c r="H54" s="10"/>
      <c r="I54" s="3" t="s">
        <v>646</v>
      </c>
      <c r="J54" s="144">
        <v>45510</v>
      </c>
      <c r="K54" s="3" t="s">
        <v>477</v>
      </c>
      <c r="L54" s="4"/>
    </row>
    <row r="55" spans="1:12" hidden="1">
      <c r="A55" s="3"/>
      <c r="B55" s="3">
        <v>52</v>
      </c>
      <c r="C55" s="4" t="s">
        <v>110</v>
      </c>
      <c r="D55" s="12">
        <v>16107083</v>
      </c>
      <c r="E55" s="4"/>
      <c r="F55" s="65">
        <v>13688</v>
      </c>
      <c r="G55" s="4" t="s">
        <v>543</v>
      </c>
      <c r="H55" s="10"/>
      <c r="I55" s="3" t="s">
        <v>85</v>
      </c>
      <c r="J55" s="156" t="s">
        <v>649</v>
      </c>
      <c r="K55" s="150" t="s">
        <v>477</v>
      </c>
      <c r="L55" s="4"/>
    </row>
    <row r="56" spans="1:12" hidden="1">
      <c r="A56" s="3"/>
      <c r="B56" s="3">
        <v>53</v>
      </c>
      <c r="C56" s="4" t="s">
        <v>110</v>
      </c>
      <c r="D56" s="12">
        <v>16107084</v>
      </c>
      <c r="E56" s="4"/>
      <c r="F56" s="65">
        <v>13788</v>
      </c>
      <c r="G56" s="4" t="s">
        <v>504</v>
      </c>
      <c r="H56" s="10"/>
      <c r="I56" s="3" t="s">
        <v>85</v>
      </c>
      <c r="J56" s="156" t="s">
        <v>651</v>
      </c>
      <c r="K56" s="150" t="s">
        <v>477</v>
      </c>
      <c r="L56" s="4"/>
    </row>
    <row r="57" spans="1:12" hidden="1">
      <c r="A57" s="3"/>
      <c r="B57" s="3">
        <v>54</v>
      </c>
      <c r="C57" s="4" t="s">
        <v>110</v>
      </c>
      <c r="D57" s="12">
        <v>16107085</v>
      </c>
      <c r="E57" s="4"/>
      <c r="F57" s="65" t="s">
        <v>31</v>
      </c>
      <c r="G57" s="4" t="s">
        <v>112</v>
      </c>
      <c r="H57" s="10"/>
      <c r="I57" s="3" t="s">
        <v>478</v>
      </c>
      <c r="J57" s="144">
        <v>45544</v>
      </c>
      <c r="K57" s="3" t="s">
        <v>477</v>
      </c>
      <c r="L57" s="4"/>
    </row>
    <row r="58" spans="1:12" hidden="1">
      <c r="A58" s="3"/>
      <c r="B58" s="3">
        <v>55</v>
      </c>
      <c r="C58" s="4" t="s">
        <v>110</v>
      </c>
      <c r="D58" s="12">
        <v>16107086</v>
      </c>
      <c r="E58" s="4"/>
      <c r="F58" s="65">
        <v>14050</v>
      </c>
      <c r="G58" s="4" t="s">
        <v>504</v>
      </c>
      <c r="H58" s="10"/>
      <c r="I58" s="3" t="s">
        <v>478</v>
      </c>
      <c r="J58" s="156" t="s">
        <v>660</v>
      </c>
      <c r="K58" s="150" t="s">
        <v>653</v>
      </c>
      <c r="L58" s="4"/>
    </row>
    <row r="59" spans="1:12" hidden="1">
      <c r="A59" s="3"/>
      <c r="B59" s="3">
        <v>56</v>
      </c>
      <c r="C59" s="4" t="s">
        <v>110</v>
      </c>
      <c r="D59" s="12">
        <v>16107087</v>
      </c>
      <c r="E59" s="4"/>
      <c r="F59" s="65">
        <v>13964</v>
      </c>
      <c r="G59" s="4" t="s">
        <v>543</v>
      </c>
      <c r="H59" s="10"/>
      <c r="I59" s="3" t="s">
        <v>478</v>
      </c>
      <c r="J59" s="156" t="s">
        <v>660</v>
      </c>
      <c r="K59" s="150" t="s">
        <v>653</v>
      </c>
      <c r="L59" s="4"/>
    </row>
    <row r="60" spans="1:12" hidden="1">
      <c r="A60" s="3"/>
      <c r="B60" s="3">
        <v>57</v>
      </c>
      <c r="C60" s="4" t="s">
        <v>110</v>
      </c>
      <c r="D60" s="12">
        <v>16107088</v>
      </c>
      <c r="E60" s="4"/>
      <c r="F60" s="65" t="s">
        <v>31</v>
      </c>
      <c r="G60" s="4" t="s">
        <v>112</v>
      </c>
      <c r="H60" s="10"/>
      <c r="I60" s="3" t="s">
        <v>661</v>
      </c>
      <c r="J60" s="144">
        <v>45583</v>
      </c>
      <c r="K60" s="3" t="s">
        <v>653</v>
      </c>
      <c r="L60" s="4"/>
    </row>
    <row r="61" spans="1:12" hidden="1">
      <c r="A61" s="3"/>
      <c r="B61" s="3">
        <v>58</v>
      </c>
      <c r="C61" s="4" t="s">
        <v>110</v>
      </c>
      <c r="D61" s="12">
        <v>16107089</v>
      </c>
      <c r="E61" s="4"/>
      <c r="F61" s="65">
        <v>14314</v>
      </c>
      <c r="G61" s="4" t="s">
        <v>543</v>
      </c>
      <c r="H61" s="10"/>
      <c r="I61" s="3" t="s">
        <v>665</v>
      </c>
      <c r="J61" s="156" t="s">
        <v>666</v>
      </c>
      <c r="K61" s="150" t="s">
        <v>653</v>
      </c>
      <c r="L61" s="4"/>
    </row>
    <row r="62" spans="1:12" hidden="1">
      <c r="A62" s="3"/>
      <c r="B62" s="3">
        <v>59</v>
      </c>
      <c r="C62" s="4" t="s">
        <v>110</v>
      </c>
      <c r="D62" s="12">
        <v>16107090</v>
      </c>
      <c r="E62" s="4"/>
      <c r="F62" s="65">
        <v>14331</v>
      </c>
      <c r="G62" s="4" t="s">
        <v>504</v>
      </c>
      <c r="H62" s="10"/>
      <c r="I62" s="3" t="s">
        <v>665</v>
      </c>
      <c r="J62" s="156" t="s">
        <v>666</v>
      </c>
      <c r="K62" s="150" t="s">
        <v>653</v>
      </c>
      <c r="L62" s="4"/>
    </row>
    <row r="63" spans="1:12" hidden="1">
      <c r="A63" s="3"/>
      <c r="B63" s="3">
        <v>60</v>
      </c>
      <c r="C63" s="4" t="s">
        <v>110</v>
      </c>
      <c r="D63" s="12">
        <v>16107091</v>
      </c>
      <c r="E63" s="4"/>
      <c r="F63" s="65" t="s">
        <v>31</v>
      </c>
      <c r="G63" s="4" t="s">
        <v>112</v>
      </c>
      <c r="H63" s="10"/>
      <c r="I63" s="3" t="s">
        <v>493</v>
      </c>
      <c r="J63" s="144">
        <v>45604</v>
      </c>
      <c r="K63" s="3" t="s">
        <v>653</v>
      </c>
      <c r="L63" s="4"/>
    </row>
    <row r="64" spans="1:12">
      <c r="A64" s="3"/>
      <c r="B64" s="3">
        <v>61</v>
      </c>
      <c r="C64" s="4" t="s">
        <v>110</v>
      </c>
      <c r="D64" s="12">
        <v>16107092</v>
      </c>
      <c r="E64" s="4"/>
      <c r="F64" s="65">
        <v>14571</v>
      </c>
      <c r="G64" s="4" t="s">
        <v>504</v>
      </c>
      <c r="H64" s="10"/>
      <c r="I64" s="3" t="s">
        <v>515</v>
      </c>
      <c r="J64" s="156" t="s">
        <v>672</v>
      </c>
      <c r="K64" s="150" t="s">
        <v>653</v>
      </c>
      <c r="L64" s="4"/>
    </row>
    <row r="65" spans="1:12">
      <c r="A65" s="3"/>
      <c r="B65" s="3">
        <v>62</v>
      </c>
      <c r="C65" s="4" t="s">
        <v>110</v>
      </c>
      <c r="D65" s="12">
        <v>16107093</v>
      </c>
      <c r="E65" s="4"/>
      <c r="F65" s="65">
        <v>14548</v>
      </c>
      <c r="G65" s="4" t="s">
        <v>543</v>
      </c>
      <c r="H65" s="10"/>
      <c r="I65" s="3" t="s">
        <v>515</v>
      </c>
      <c r="J65" s="156" t="s">
        <v>673</v>
      </c>
      <c r="K65" s="150" t="s">
        <v>653</v>
      </c>
      <c r="L65" s="4"/>
    </row>
    <row r="66" spans="1:12">
      <c r="A66" s="3"/>
      <c r="B66" s="3">
        <v>63</v>
      </c>
      <c r="C66" s="4" t="s">
        <v>110</v>
      </c>
      <c r="D66" s="12">
        <v>16107094</v>
      </c>
      <c r="E66" s="4"/>
      <c r="F66" s="65" t="s">
        <v>31</v>
      </c>
      <c r="G66" s="4" t="s">
        <v>112</v>
      </c>
      <c r="H66" s="10"/>
      <c r="I66" s="3" t="s">
        <v>33</v>
      </c>
      <c r="J66" s="144">
        <v>45632</v>
      </c>
      <c r="K66" s="3" t="s">
        <v>653</v>
      </c>
      <c r="L66" s="4"/>
    </row>
    <row r="67" spans="1:12">
      <c r="A67" s="3"/>
      <c r="B67" s="3">
        <v>64</v>
      </c>
      <c r="C67" s="4" t="s">
        <v>110</v>
      </c>
      <c r="D67" s="12">
        <v>16107095</v>
      </c>
      <c r="E67" s="4"/>
      <c r="F67" s="65">
        <v>14643</v>
      </c>
      <c r="G67" s="4" t="s">
        <v>504</v>
      </c>
      <c r="H67" s="10"/>
      <c r="I67" s="3" t="s">
        <v>33</v>
      </c>
      <c r="J67" s="144">
        <v>45645</v>
      </c>
      <c r="K67" s="3" t="s">
        <v>653</v>
      </c>
      <c r="L67" s="4"/>
    </row>
    <row r="68" spans="1:12">
      <c r="A68" s="3"/>
      <c r="B68" s="3">
        <v>65</v>
      </c>
      <c r="C68" s="4" t="s">
        <v>110</v>
      </c>
      <c r="D68" s="12">
        <v>16107096</v>
      </c>
      <c r="E68" s="4"/>
      <c r="F68" s="65">
        <v>14642</v>
      </c>
      <c r="G68" s="4" t="s">
        <v>543</v>
      </c>
      <c r="H68" s="10"/>
      <c r="I68" s="3" t="s">
        <v>33</v>
      </c>
      <c r="J68" s="144">
        <v>45645</v>
      </c>
      <c r="K68" s="3" t="s">
        <v>653</v>
      </c>
      <c r="L68" s="4"/>
    </row>
    <row r="69" spans="1:12">
      <c r="A69" s="3"/>
      <c r="B69" s="3">
        <v>66</v>
      </c>
      <c r="C69" s="4" t="s">
        <v>110</v>
      </c>
      <c r="D69" s="12">
        <v>16107097</v>
      </c>
      <c r="E69" s="4"/>
      <c r="F69" s="65" t="s">
        <v>31</v>
      </c>
      <c r="G69" s="4" t="s">
        <v>112</v>
      </c>
      <c r="H69" s="10"/>
      <c r="I69" s="3" t="s">
        <v>518</v>
      </c>
      <c r="J69" s="144">
        <v>45672</v>
      </c>
      <c r="K69" s="3" t="s">
        <v>653</v>
      </c>
      <c r="L69" s="4"/>
    </row>
    <row r="70" spans="1:12">
      <c r="A70" s="3"/>
      <c r="B70" s="3">
        <v>67</v>
      </c>
      <c r="C70" s="4" t="s">
        <v>110</v>
      </c>
      <c r="D70" s="12">
        <v>16107098</v>
      </c>
      <c r="E70" s="4"/>
      <c r="F70" s="65">
        <v>15125</v>
      </c>
      <c r="G70" s="4" t="s">
        <v>504</v>
      </c>
      <c r="H70" s="10"/>
      <c r="I70" s="3" t="s">
        <v>518</v>
      </c>
      <c r="J70" s="144" t="s">
        <v>692</v>
      </c>
      <c r="K70" s="3" t="s">
        <v>653</v>
      </c>
      <c r="L70" s="4"/>
    </row>
    <row r="71" spans="1:12">
      <c r="A71" s="3"/>
      <c r="B71" s="3">
        <v>68</v>
      </c>
      <c r="C71" s="4" t="s">
        <v>110</v>
      </c>
      <c r="D71" s="12">
        <v>16107099</v>
      </c>
      <c r="E71" s="4"/>
      <c r="F71" s="65">
        <v>14937</v>
      </c>
      <c r="G71" s="4" t="s">
        <v>543</v>
      </c>
      <c r="H71" s="10"/>
      <c r="I71" s="3" t="s">
        <v>518</v>
      </c>
      <c r="J71" s="144" t="s">
        <v>692</v>
      </c>
      <c r="K71" s="3" t="s">
        <v>653</v>
      </c>
      <c r="L71" s="4"/>
    </row>
    <row r="72" spans="1:12">
      <c r="A72" s="3"/>
      <c r="B72" s="3">
        <v>69</v>
      </c>
      <c r="C72" s="4" t="s">
        <v>110</v>
      </c>
      <c r="D72" s="12">
        <v>16107100</v>
      </c>
      <c r="E72" s="4"/>
      <c r="F72" s="65" t="s">
        <v>31</v>
      </c>
      <c r="G72" s="4" t="s">
        <v>112</v>
      </c>
      <c r="H72" s="10"/>
      <c r="I72" s="3" t="s">
        <v>217</v>
      </c>
      <c r="J72" s="144">
        <v>45699</v>
      </c>
      <c r="K72" s="3" t="s">
        <v>653</v>
      </c>
      <c r="L72" s="4"/>
    </row>
    <row r="73" spans="1:12">
      <c r="A73" s="3"/>
      <c r="B73" s="3">
        <v>70</v>
      </c>
      <c r="C73" s="4" t="s">
        <v>110</v>
      </c>
      <c r="D73" s="12">
        <v>16107101</v>
      </c>
      <c r="E73" s="4"/>
      <c r="F73" s="65">
        <v>15393</v>
      </c>
      <c r="G73" s="4" t="s">
        <v>504</v>
      </c>
      <c r="H73" s="10"/>
      <c r="I73" s="150" t="s">
        <v>217</v>
      </c>
      <c r="J73" s="167" t="s">
        <v>700</v>
      </c>
      <c r="K73" s="150" t="s">
        <v>653</v>
      </c>
      <c r="L73" s="4"/>
    </row>
    <row r="74" spans="1:12">
      <c r="A74" s="3"/>
      <c r="B74" s="3">
        <v>71</v>
      </c>
      <c r="C74" s="4" t="s">
        <v>110</v>
      </c>
      <c r="D74" s="12">
        <v>16107102</v>
      </c>
      <c r="E74" s="4"/>
      <c r="F74" s="65">
        <v>15321</v>
      </c>
      <c r="G74" s="4" t="s">
        <v>543</v>
      </c>
      <c r="H74" s="10"/>
      <c r="I74" s="150" t="s">
        <v>217</v>
      </c>
      <c r="J74" s="167" t="s">
        <v>700</v>
      </c>
      <c r="K74" s="150" t="s">
        <v>653</v>
      </c>
      <c r="L74" s="4"/>
    </row>
    <row r="75" spans="1:12">
      <c r="A75" s="3"/>
      <c r="B75" s="3">
        <v>72</v>
      </c>
      <c r="C75" s="4" t="s">
        <v>110</v>
      </c>
      <c r="D75" s="12">
        <v>16107103</v>
      </c>
      <c r="E75" s="4"/>
      <c r="F75" s="65" t="s">
        <v>31</v>
      </c>
      <c r="G75" s="4" t="s">
        <v>112</v>
      </c>
      <c r="H75" s="10"/>
      <c r="I75" s="3" t="s">
        <v>531</v>
      </c>
      <c r="J75" s="144">
        <v>45735</v>
      </c>
      <c r="K75" s="3" t="s">
        <v>653</v>
      </c>
      <c r="L75" s="4"/>
    </row>
    <row r="76" spans="1:12">
      <c r="A76" s="3"/>
      <c r="B76" s="3">
        <v>73</v>
      </c>
      <c r="C76" s="4" t="s">
        <v>110</v>
      </c>
      <c r="D76" s="12">
        <v>16107104</v>
      </c>
      <c r="E76" s="4"/>
      <c r="F76" s="65" t="s">
        <v>735</v>
      </c>
      <c r="G76" s="4" t="s">
        <v>543</v>
      </c>
      <c r="H76" s="10"/>
      <c r="I76" s="3" t="s">
        <v>736</v>
      </c>
      <c r="J76" s="168">
        <v>45744</v>
      </c>
      <c r="K76" s="3" t="s">
        <v>720</v>
      </c>
      <c r="L76" s="4"/>
    </row>
    <row r="77" spans="1:12">
      <c r="A77" s="3"/>
      <c r="B77" s="3">
        <v>74</v>
      </c>
      <c r="C77" s="4" t="s">
        <v>110</v>
      </c>
      <c r="D77" s="12">
        <v>16107105</v>
      </c>
      <c r="E77" s="4"/>
      <c r="F77" s="65" t="s">
        <v>737</v>
      </c>
      <c r="G77" s="4" t="s">
        <v>504</v>
      </c>
      <c r="H77" s="10"/>
      <c r="I77" s="3" t="s">
        <v>736</v>
      </c>
      <c r="J77" s="168">
        <v>45744</v>
      </c>
      <c r="K77" s="3" t="s">
        <v>720</v>
      </c>
      <c r="L77" s="4"/>
    </row>
    <row r="78" spans="1:12">
      <c r="A78" s="3"/>
      <c r="B78" s="3">
        <v>75</v>
      </c>
      <c r="C78" s="4" t="s">
        <v>110</v>
      </c>
      <c r="D78" s="12">
        <v>16107106</v>
      </c>
      <c r="E78" s="4"/>
      <c r="F78" s="65" t="s">
        <v>31</v>
      </c>
      <c r="G78" s="4" t="s">
        <v>112</v>
      </c>
      <c r="H78" s="10"/>
      <c r="I78" s="3" t="s">
        <v>749</v>
      </c>
      <c r="J78" s="168">
        <v>45761</v>
      </c>
      <c r="K78" s="3" t="s">
        <v>750</v>
      </c>
      <c r="L78" s="4"/>
    </row>
    <row r="79" spans="1:12">
      <c r="A79" s="3"/>
      <c r="B79" s="3">
        <v>76</v>
      </c>
      <c r="C79" s="4" t="s">
        <v>110</v>
      </c>
      <c r="D79" s="12">
        <v>16107107</v>
      </c>
      <c r="E79" s="4"/>
      <c r="F79" s="65" t="s">
        <v>766</v>
      </c>
      <c r="G79" s="4" t="s">
        <v>543</v>
      </c>
      <c r="H79" s="10"/>
      <c r="I79" s="3" t="s">
        <v>767</v>
      </c>
      <c r="J79" s="168">
        <v>45784</v>
      </c>
      <c r="K79" s="3" t="s">
        <v>710</v>
      </c>
      <c r="L79" s="4"/>
    </row>
    <row r="80" spans="1:12">
      <c r="A80" s="3"/>
      <c r="B80" s="3">
        <v>77</v>
      </c>
      <c r="C80" s="4" t="s">
        <v>110</v>
      </c>
      <c r="D80" s="12">
        <v>16107108</v>
      </c>
      <c r="E80" s="4"/>
      <c r="F80" s="65" t="s">
        <v>768</v>
      </c>
      <c r="G80" s="4" t="s">
        <v>504</v>
      </c>
      <c r="H80" s="10"/>
      <c r="I80" s="3" t="s">
        <v>767</v>
      </c>
      <c r="J80" s="168">
        <v>45784</v>
      </c>
      <c r="K80" s="3" t="s">
        <v>710</v>
      </c>
      <c r="L80" s="4"/>
    </row>
    <row r="81" spans="1:12">
      <c r="A81" s="3"/>
      <c r="B81" s="3">
        <v>78</v>
      </c>
      <c r="C81" s="4" t="s">
        <v>110</v>
      </c>
      <c r="D81" s="12">
        <v>16107109</v>
      </c>
      <c r="E81" s="4"/>
      <c r="F81" s="65" t="s">
        <v>31</v>
      </c>
      <c r="G81" s="4" t="s">
        <v>112</v>
      </c>
      <c r="H81" s="10"/>
      <c r="I81" s="3" t="s">
        <v>156</v>
      </c>
      <c r="J81" s="168">
        <v>45790</v>
      </c>
      <c r="K81" s="3" t="s">
        <v>779</v>
      </c>
      <c r="L81" s="4"/>
    </row>
    <row r="82" spans="1:12">
      <c r="A82" s="3"/>
      <c r="B82" s="3">
        <v>79</v>
      </c>
      <c r="C82" s="4" t="s">
        <v>110</v>
      </c>
      <c r="D82" s="12">
        <v>16107110</v>
      </c>
      <c r="E82" s="4"/>
      <c r="F82" s="65">
        <v>16170</v>
      </c>
      <c r="G82" s="4" t="s">
        <v>543</v>
      </c>
      <c r="H82" s="10"/>
      <c r="I82" s="3" t="s">
        <v>156</v>
      </c>
      <c r="J82" s="168">
        <v>45805</v>
      </c>
      <c r="K82" s="3" t="s">
        <v>710</v>
      </c>
      <c r="L82" s="4"/>
    </row>
    <row r="83" spans="1:12">
      <c r="A83" s="3"/>
      <c r="B83" s="3">
        <v>80</v>
      </c>
      <c r="C83" s="4" t="s">
        <v>110</v>
      </c>
      <c r="D83" s="12">
        <v>16107111</v>
      </c>
      <c r="E83" s="4"/>
      <c r="F83" s="65">
        <v>16171</v>
      </c>
      <c r="G83" s="4" t="s">
        <v>504</v>
      </c>
      <c r="H83" s="10"/>
      <c r="I83" s="3" t="s">
        <v>156</v>
      </c>
      <c r="J83" s="168">
        <v>45805</v>
      </c>
      <c r="K83" s="3" t="s">
        <v>710</v>
      </c>
      <c r="L83" s="4"/>
    </row>
    <row r="84" spans="1:12">
      <c r="A84" s="3"/>
      <c r="B84" s="3">
        <v>81</v>
      </c>
      <c r="C84" s="4" t="s">
        <v>110</v>
      </c>
      <c r="D84" s="12">
        <v>16107112</v>
      </c>
      <c r="E84" s="4"/>
      <c r="F84" s="65" t="s">
        <v>31</v>
      </c>
      <c r="G84" s="4" t="s">
        <v>112</v>
      </c>
      <c r="H84" s="10"/>
      <c r="I84" s="3" t="s">
        <v>635</v>
      </c>
      <c r="J84" s="168">
        <v>45817</v>
      </c>
      <c r="K84" s="3" t="s">
        <v>653</v>
      </c>
      <c r="L84" s="4"/>
    </row>
    <row r="85" spans="1:12">
      <c r="A85" s="3"/>
      <c r="B85" s="3">
        <v>82</v>
      </c>
      <c r="C85" s="4" t="s">
        <v>110</v>
      </c>
      <c r="D85" s="12">
        <v>16107113</v>
      </c>
      <c r="E85" s="4"/>
      <c r="F85" s="65">
        <v>16432</v>
      </c>
      <c r="G85" s="4" t="s">
        <v>543</v>
      </c>
      <c r="H85" s="10"/>
      <c r="I85" s="3" t="s">
        <v>635</v>
      </c>
      <c r="J85" s="168">
        <v>45835</v>
      </c>
      <c r="K85" s="3" t="s">
        <v>653</v>
      </c>
      <c r="L85" s="4"/>
    </row>
    <row r="86" spans="1:12">
      <c r="A86" s="3"/>
      <c r="B86" s="3">
        <v>83</v>
      </c>
      <c r="C86" s="4" t="s">
        <v>110</v>
      </c>
      <c r="D86" s="12">
        <v>16107114</v>
      </c>
      <c r="E86" s="4"/>
      <c r="F86" s="65">
        <v>16433</v>
      </c>
      <c r="G86" s="4" t="s">
        <v>504</v>
      </c>
      <c r="H86" s="10"/>
      <c r="I86" s="3" t="s">
        <v>635</v>
      </c>
      <c r="J86" s="168">
        <v>45835</v>
      </c>
      <c r="K86" s="3" t="s">
        <v>653</v>
      </c>
      <c r="L86" s="4"/>
    </row>
    <row r="87" spans="1:12">
      <c r="A87" s="3"/>
      <c r="B87" s="3">
        <v>84</v>
      </c>
      <c r="C87" s="4" t="s">
        <v>110</v>
      </c>
      <c r="D87" s="12">
        <v>16107115</v>
      </c>
      <c r="E87" s="4"/>
      <c r="F87" s="65" t="s">
        <v>31</v>
      </c>
      <c r="G87" s="4" t="s">
        <v>112</v>
      </c>
      <c r="H87" s="10"/>
      <c r="I87" s="3" t="s">
        <v>84</v>
      </c>
      <c r="J87" s="162" t="s">
        <v>798</v>
      </c>
      <c r="K87" s="150" t="s">
        <v>653</v>
      </c>
      <c r="L87" s="4"/>
    </row>
    <row r="88" spans="1:12">
      <c r="B88" s="3">
        <v>85</v>
      </c>
      <c r="C88" s="4" t="s">
        <v>110</v>
      </c>
      <c r="D88" s="12">
        <v>16107116</v>
      </c>
      <c r="E88" s="4"/>
      <c r="F88" s="65">
        <v>16778</v>
      </c>
      <c r="G88" s="4" t="s">
        <v>504</v>
      </c>
      <c r="H88" s="10"/>
      <c r="I88" s="3" t="s">
        <v>84</v>
      </c>
      <c r="J88" s="162" t="s">
        <v>802</v>
      </c>
      <c r="K88" s="3" t="s">
        <v>653</v>
      </c>
      <c r="L88" s="4"/>
    </row>
    <row r="89" spans="1:12">
      <c r="B89" s="3">
        <v>86</v>
      </c>
      <c r="C89" s="4" t="s">
        <v>110</v>
      </c>
      <c r="D89" s="12">
        <v>16107117</v>
      </c>
      <c r="E89" s="4"/>
      <c r="F89" s="65">
        <v>16777</v>
      </c>
      <c r="G89" s="4" t="s">
        <v>543</v>
      </c>
      <c r="H89" s="10"/>
      <c r="I89" s="3" t="s">
        <v>84</v>
      </c>
      <c r="J89" s="162" t="s">
        <v>802</v>
      </c>
      <c r="K89" s="3" t="s">
        <v>653</v>
      </c>
      <c r="L89" s="4"/>
    </row>
    <row r="90" spans="1:12">
      <c r="B90" s="3">
        <v>87</v>
      </c>
      <c r="C90" s="4" t="s">
        <v>110</v>
      </c>
      <c r="D90" s="12">
        <v>16107118</v>
      </c>
      <c r="E90" s="4"/>
      <c r="F90" s="65" t="s">
        <v>31</v>
      </c>
      <c r="G90" s="4" t="s">
        <v>112</v>
      </c>
      <c r="H90" s="10"/>
      <c r="I90" s="3" t="s">
        <v>85</v>
      </c>
      <c r="J90" s="162" t="s">
        <v>818</v>
      </c>
      <c r="K90" s="3" t="s">
        <v>653</v>
      </c>
      <c r="L90" s="4"/>
    </row>
    <row r="91" spans="1:12">
      <c r="B91" s="3">
        <v>88</v>
      </c>
      <c r="C91" s="4" t="s">
        <v>110</v>
      </c>
      <c r="D91" s="12">
        <v>16107119</v>
      </c>
      <c r="E91" s="4"/>
      <c r="F91" s="65">
        <v>16950</v>
      </c>
      <c r="G91" s="4" t="s">
        <v>543</v>
      </c>
      <c r="H91" s="10"/>
      <c r="I91" s="3" t="s">
        <v>85</v>
      </c>
      <c r="J91" s="168">
        <v>45889</v>
      </c>
      <c r="K91" s="3" t="s">
        <v>653</v>
      </c>
      <c r="L91" s="4"/>
    </row>
    <row r="92" spans="1:12">
      <c r="B92" s="3">
        <v>89</v>
      </c>
      <c r="C92" s="4" t="s">
        <v>110</v>
      </c>
      <c r="D92" s="12">
        <v>16107120</v>
      </c>
      <c r="E92" s="4"/>
      <c r="F92" s="65">
        <v>16949</v>
      </c>
      <c r="G92" s="4" t="s">
        <v>504</v>
      </c>
      <c r="H92" s="10"/>
      <c r="I92" s="3" t="s">
        <v>85</v>
      </c>
      <c r="J92" s="168">
        <v>45889</v>
      </c>
      <c r="K92" s="3" t="s">
        <v>653</v>
      </c>
      <c r="L92" s="4"/>
    </row>
    <row r="93" spans="1:12">
      <c r="B93" s="3">
        <v>90</v>
      </c>
      <c r="C93" s="4" t="s">
        <v>110</v>
      </c>
      <c r="D93" s="12">
        <v>16107121</v>
      </c>
      <c r="E93" s="4"/>
      <c r="F93" s="65" t="s">
        <v>31</v>
      </c>
      <c r="G93" s="4" t="s">
        <v>112</v>
      </c>
      <c r="H93" s="10"/>
      <c r="I93" s="3" t="s">
        <v>824</v>
      </c>
      <c r="J93" s="162" t="s">
        <v>825</v>
      </c>
      <c r="K93" s="150" t="s">
        <v>653</v>
      </c>
      <c r="L93" s="4"/>
    </row>
    <row r="94" spans="1:12">
      <c r="B94" s="3">
        <v>91</v>
      </c>
      <c r="C94" s="4" t="s">
        <v>110</v>
      </c>
      <c r="D94" s="12">
        <v>16107122</v>
      </c>
      <c r="E94" s="4"/>
      <c r="F94" s="65">
        <v>17143</v>
      </c>
      <c r="G94" s="4" t="s">
        <v>543</v>
      </c>
      <c r="H94" s="10"/>
      <c r="I94" s="3" t="s">
        <v>481</v>
      </c>
      <c r="J94" s="168">
        <v>45916</v>
      </c>
      <c r="K94" s="3" t="s">
        <v>653</v>
      </c>
      <c r="L94" s="4"/>
    </row>
    <row r="95" spans="1:12">
      <c r="B95" s="3">
        <v>92</v>
      </c>
      <c r="C95" s="4" t="s">
        <v>110</v>
      </c>
      <c r="D95" s="12">
        <v>16107123</v>
      </c>
      <c r="E95" s="4"/>
      <c r="F95" s="65">
        <v>17285</v>
      </c>
      <c r="G95" s="4" t="s">
        <v>504</v>
      </c>
      <c r="H95" s="10"/>
      <c r="I95" s="3" t="s">
        <v>481</v>
      </c>
      <c r="J95" s="168">
        <v>45916</v>
      </c>
      <c r="K95" s="3" t="s">
        <v>653</v>
      </c>
      <c r="L95" s="4"/>
    </row>
    <row r="96" spans="1:12">
      <c r="B96" s="3">
        <v>93</v>
      </c>
      <c r="C96" s="4" t="s">
        <v>110</v>
      </c>
      <c r="D96" s="12">
        <v>16107124</v>
      </c>
      <c r="E96" s="4"/>
      <c r="F96" s="65" t="s">
        <v>31</v>
      </c>
      <c r="G96" s="4" t="s">
        <v>837</v>
      </c>
      <c r="H96" s="10"/>
      <c r="I96" s="3" t="s">
        <v>835</v>
      </c>
      <c r="J96" s="162" t="s">
        <v>836</v>
      </c>
      <c r="K96" s="3" t="s">
        <v>653</v>
      </c>
      <c r="L96" s="4"/>
    </row>
    <row r="97" spans="2:12">
      <c r="B97" s="3">
        <v>94</v>
      </c>
      <c r="C97" s="4" t="s">
        <v>110</v>
      </c>
      <c r="D97" s="12">
        <v>16107125</v>
      </c>
      <c r="E97" s="4"/>
      <c r="F97" s="65">
        <v>17522</v>
      </c>
      <c r="G97" s="4" t="s">
        <v>543</v>
      </c>
      <c r="H97" s="10"/>
      <c r="I97" s="3" t="s">
        <v>661</v>
      </c>
      <c r="J97" s="168">
        <v>45946</v>
      </c>
      <c r="K97" s="3" t="s">
        <v>653</v>
      </c>
      <c r="L97" s="4"/>
    </row>
    <row r="98" spans="2:12">
      <c r="B98" s="3">
        <v>95</v>
      </c>
      <c r="C98" s="4" t="s">
        <v>110</v>
      </c>
      <c r="D98" s="12">
        <v>16107126</v>
      </c>
      <c r="E98" s="4"/>
      <c r="F98" s="65">
        <v>17526</v>
      </c>
      <c r="G98" s="4" t="s">
        <v>504</v>
      </c>
      <c r="H98" s="10"/>
      <c r="I98" s="3" t="s">
        <v>661</v>
      </c>
      <c r="J98" s="168">
        <v>45946</v>
      </c>
      <c r="K98" s="3" t="s">
        <v>653</v>
      </c>
      <c r="L98" s="4"/>
    </row>
    <row r="99" spans="2:12">
      <c r="B99" s="3">
        <v>96</v>
      </c>
      <c r="C99" s="4" t="s">
        <v>110</v>
      </c>
      <c r="D99" s="12">
        <v>16107127</v>
      </c>
      <c r="E99" s="4"/>
      <c r="F99" s="65" t="s">
        <v>31</v>
      </c>
      <c r="G99" s="4" t="s">
        <v>837</v>
      </c>
      <c r="H99" s="10"/>
      <c r="I99" s="3" t="s">
        <v>854</v>
      </c>
      <c r="J99" s="162" t="s">
        <v>855</v>
      </c>
      <c r="K99" s="150" t="s">
        <v>653</v>
      </c>
      <c r="L99" s="4"/>
    </row>
    <row r="100" spans="2:12">
      <c r="B100" s="3">
        <v>97</v>
      </c>
      <c r="C100" s="4" t="s">
        <v>110</v>
      </c>
      <c r="D100" s="12">
        <v>16107128</v>
      </c>
      <c r="E100" s="4"/>
      <c r="F100" s="65">
        <v>17889</v>
      </c>
      <c r="G100" s="4" t="s">
        <v>543</v>
      </c>
      <c r="H100" s="10"/>
      <c r="I100" s="3" t="s">
        <v>857</v>
      </c>
      <c r="J100" s="168">
        <v>45975</v>
      </c>
      <c r="K100" s="3" t="s">
        <v>653</v>
      </c>
      <c r="L100" s="4"/>
    </row>
    <row r="101" spans="2:12">
      <c r="B101" s="3">
        <v>98</v>
      </c>
      <c r="C101" s="4" t="s">
        <v>110</v>
      </c>
      <c r="D101" s="12">
        <v>16107129</v>
      </c>
      <c r="E101" s="4"/>
      <c r="F101" s="65">
        <v>17890</v>
      </c>
      <c r="G101" s="4" t="s">
        <v>504</v>
      </c>
      <c r="H101" s="10"/>
      <c r="I101" s="3" t="s">
        <v>857</v>
      </c>
      <c r="J101" s="168">
        <v>45975</v>
      </c>
      <c r="K101" s="3" t="s">
        <v>653</v>
      </c>
      <c r="L101" s="4"/>
    </row>
    <row r="102" spans="2:12">
      <c r="B102" s="3">
        <v>99</v>
      </c>
      <c r="C102" s="4" t="s">
        <v>110</v>
      </c>
      <c r="D102" s="12">
        <v>16107130</v>
      </c>
      <c r="E102" s="4"/>
      <c r="F102" s="65" t="s">
        <v>31</v>
      </c>
      <c r="G102" s="4" t="s">
        <v>837</v>
      </c>
      <c r="H102" s="10"/>
      <c r="I102" s="3" t="s">
        <v>33</v>
      </c>
      <c r="J102" s="168">
        <v>45996</v>
      </c>
      <c r="K102" s="3" t="s">
        <v>653</v>
      </c>
      <c r="L102" s="4"/>
    </row>
    <row r="103" spans="2:12">
      <c r="B103" s="3">
        <v>100</v>
      </c>
      <c r="C103" s="4" t="s">
        <v>110</v>
      </c>
      <c r="D103" s="12">
        <v>16107131</v>
      </c>
      <c r="E103" s="4"/>
      <c r="F103" s="65">
        <v>18174</v>
      </c>
      <c r="G103" s="4" t="s">
        <v>543</v>
      </c>
      <c r="H103" s="10"/>
      <c r="I103" s="3" t="s">
        <v>860</v>
      </c>
      <c r="J103" s="168">
        <v>46008</v>
      </c>
      <c r="K103" s="3" t="s">
        <v>653</v>
      </c>
      <c r="L103" s="4"/>
    </row>
    <row r="104" spans="2:12">
      <c r="B104" s="3">
        <v>101</v>
      </c>
      <c r="C104" s="4" t="s">
        <v>110</v>
      </c>
      <c r="D104" s="12">
        <v>16107132</v>
      </c>
      <c r="E104" s="4"/>
      <c r="F104" s="65">
        <v>18177</v>
      </c>
      <c r="G104" s="4" t="s">
        <v>504</v>
      </c>
      <c r="H104" s="10"/>
      <c r="I104" s="3" t="s">
        <v>860</v>
      </c>
      <c r="J104" s="168">
        <v>46008</v>
      </c>
      <c r="K104" s="3" t="s">
        <v>653</v>
      </c>
      <c r="L104" s="4"/>
    </row>
    <row r="105" spans="2:12">
      <c r="B105" s="3">
        <v>102</v>
      </c>
      <c r="C105" s="4"/>
      <c r="D105" s="12">
        <v>16107133</v>
      </c>
      <c r="E105" s="4"/>
      <c r="F105" s="65"/>
      <c r="G105" s="4"/>
      <c r="H105" s="10"/>
      <c r="I105" s="3"/>
      <c r="J105" s="168"/>
      <c r="K105" s="3"/>
      <c r="L105" s="4"/>
    </row>
    <row r="106" spans="2:12">
      <c r="B106" s="3">
        <v>103</v>
      </c>
      <c r="J106" s="168"/>
    </row>
  </sheetData>
  <autoFilter ref="A3:K9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33" priority="1" operator="containsText" text="見積！">
      <formula>NOT(ISERROR(SEARCH("見積！",A1)))</formula>
    </cfRule>
  </conditionalFormatting>
  <conditionalFormatting sqref="A4:A1048576">
    <cfRule type="containsText" dxfId="132" priority="4" operator="containsText" text="着手">
      <formula>NOT(ISERROR(SEARCH("着手",A4)))</formula>
    </cfRule>
    <cfRule type="containsText" dxfId="131" priority="5" operator="containsText" text="見積完了">
      <formula>NOT(ISERROR(SEARCH("見積完了",A4)))</formula>
    </cfRule>
    <cfRule type="containsText" dxfId="130" priority="6" operator="containsText" text="中止">
      <formula>NOT(ISERROR(SEARCH("中止",A4)))</formula>
    </cfRule>
    <cfRule type="containsText" dxfId="129" priority="7" operator="containsText" text="保留">
      <formula>NOT(ISERROR(SEARCH("保留",A4)))</formula>
    </cfRule>
    <cfRule type="containsText" dxfId="128" priority="8" operator="containsText" text="進行中">
      <formula>NOT(ISERROR(SEARCH("進行中",A4)))</formula>
    </cfRule>
    <cfRule type="containsText" dxfId="127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K1:L1048576 G2:G1048576 I1:I1048576 C1:C1048576" xr:uid="{09D8A7A3-D193-4CD1-8825-4E54EE43139F}"/>
    <dataValidation imeMode="off" allowBlank="1" showInputMessage="1" showErrorMessage="1" sqref="G1 D1:F1048576 H1:H1048576 B1:B1048576 J1:J1048576" xr:uid="{373B6D55-3472-4E9F-8C01-3AC27C2A484A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68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15356-DAF7-44B7-A783-0DC4C8400613}">
          <x14:formula1>
            <xm:f>タスク!$B$3:$B$14</xm:f>
          </x14:formula1>
          <xm:sqref>A4:A1048576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DF98-C847-4B22-BEA6-B84592458F26}">
  <sheetPr>
    <pageSetUpPr fitToPage="1"/>
  </sheetPr>
  <dimension ref="A1:M87"/>
  <sheetViews>
    <sheetView zoomScale="130" zoomScaleNormal="130" workbookViewId="0">
      <pane ySplit="3" topLeftCell="A4" activePane="bottomLeft" state="frozen"/>
      <selection activeCell="A11" sqref="A11"/>
      <selection pane="bottomLeft" activeCell="K9" sqref="K9:L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157" t="s">
        <v>27</v>
      </c>
    </row>
    <row r="4" spans="1:13" ht="18.600000000000001" thickTop="1">
      <c r="A4" s="17"/>
      <c r="B4" s="3">
        <v>1</v>
      </c>
      <c r="C4" s="4" t="s">
        <v>589</v>
      </c>
      <c r="D4" s="57">
        <v>16123001</v>
      </c>
      <c r="E4" s="4" t="s">
        <v>111</v>
      </c>
      <c r="F4" s="65" t="s">
        <v>591</v>
      </c>
      <c r="G4" s="4" t="s">
        <v>590</v>
      </c>
      <c r="H4" s="10"/>
      <c r="I4" s="3" t="s">
        <v>562</v>
      </c>
      <c r="J4" s="1">
        <v>45401</v>
      </c>
      <c r="K4" s="3" t="s">
        <v>477</v>
      </c>
      <c r="L4" s="4"/>
    </row>
    <row r="5" spans="1:13" s="8" customFormat="1">
      <c r="A5" s="17"/>
      <c r="B5" s="3">
        <v>2</v>
      </c>
      <c r="C5" s="4" t="s">
        <v>592</v>
      </c>
      <c r="D5" s="57">
        <v>16123002</v>
      </c>
      <c r="E5" s="4" t="s">
        <v>114</v>
      </c>
      <c r="F5" s="65" t="s">
        <v>593</v>
      </c>
      <c r="G5" s="4" t="s">
        <v>594</v>
      </c>
      <c r="H5" s="10"/>
      <c r="I5" s="3" t="s">
        <v>562</v>
      </c>
      <c r="J5" s="1">
        <v>45401</v>
      </c>
      <c r="K5" s="3" t="s">
        <v>477</v>
      </c>
      <c r="L5" s="4"/>
      <c r="M5"/>
    </row>
    <row r="6" spans="1:13" s="8" customFormat="1">
      <c r="A6" s="17"/>
      <c r="B6" s="3">
        <v>3</v>
      </c>
      <c r="C6" s="4" t="s">
        <v>592</v>
      </c>
      <c r="D6" s="57">
        <v>16123003</v>
      </c>
      <c r="E6" s="4" t="s">
        <v>117</v>
      </c>
      <c r="F6" s="65" t="s">
        <v>595</v>
      </c>
      <c r="G6" s="4" t="s">
        <v>596</v>
      </c>
      <c r="H6" s="10"/>
      <c r="I6" s="3" t="s">
        <v>562</v>
      </c>
      <c r="J6" s="1">
        <v>45401</v>
      </c>
      <c r="K6" s="3" t="s">
        <v>477</v>
      </c>
      <c r="L6" s="4"/>
      <c r="M6"/>
    </row>
    <row r="7" spans="1:13" s="8" customFormat="1">
      <c r="A7" s="17"/>
      <c r="B7" s="3">
        <v>4</v>
      </c>
      <c r="C7" s="4" t="s">
        <v>592</v>
      </c>
      <c r="D7" s="57">
        <v>16123004</v>
      </c>
      <c r="E7" s="4" t="s">
        <v>120</v>
      </c>
      <c r="F7" s="65" t="s">
        <v>611</v>
      </c>
      <c r="G7" s="4" t="s">
        <v>594</v>
      </c>
      <c r="H7" s="10"/>
      <c r="I7" s="3" t="s">
        <v>54</v>
      </c>
      <c r="J7" s="1">
        <v>45433</v>
      </c>
      <c r="K7" s="3" t="s">
        <v>477</v>
      </c>
      <c r="L7" s="4"/>
      <c r="M7"/>
    </row>
    <row r="8" spans="1:13" s="8" customFormat="1">
      <c r="A8" s="17"/>
      <c r="B8" s="3">
        <v>5</v>
      </c>
      <c r="C8" s="4" t="s">
        <v>592</v>
      </c>
      <c r="D8" s="57">
        <v>16123005</v>
      </c>
      <c r="E8" s="4" t="s">
        <v>123</v>
      </c>
      <c r="F8" s="65" t="s">
        <v>612</v>
      </c>
      <c r="G8" s="4" t="s">
        <v>596</v>
      </c>
      <c r="H8" s="10"/>
      <c r="I8" s="3" t="s">
        <v>54</v>
      </c>
      <c r="J8" s="1">
        <v>45433</v>
      </c>
      <c r="K8" s="3" t="s">
        <v>477</v>
      </c>
      <c r="L8" s="4"/>
      <c r="M8"/>
    </row>
    <row r="9" spans="1:13" s="8" customFormat="1">
      <c r="A9" s="17"/>
      <c r="B9" s="3">
        <v>6</v>
      </c>
      <c r="C9" s="4" t="s">
        <v>592</v>
      </c>
      <c r="D9" s="57">
        <v>16123006</v>
      </c>
      <c r="E9" s="4" t="s">
        <v>126</v>
      </c>
      <c r="F9" s="65" t="s">
        <v>615</v>
      </c>
      <c r="G9" s="4" t="s">
        <v>590</v>
      </c>
      <c r="H9" s="10"/>
      <c r="I9" s="3" t="s">
        <v>54</v>
      </c>
      <c r="J9" s="1">
        <v>45435</v>
      </c>
      <c r="K9" s="3" t="s">
        <v>477</v>
      </c>
      <c r="L9" s="4"/>
      <c r="M9"/>
    </row>
    <row r="10" spans="1:13" s="8" customFormat="1">
      <c r="A10" s="17"/>
      <c r="B10" s="3">
        <v>7</v>
      </c>
      <c r="C10" s="4" t="s">
        <v>592</v>
      </c>
      <c r="D10" s="57">
        <v>16123007</v>
      </c>
      <c r="E10" s="4" t="s">
        <v>129</v>
      </c>
      <c r="F10" s="65">
        <v>13144</v>
      </c>
      <c r="G10" s="4" t="s">
        <v>594</v>
      </c>
      <c r="H10" s="10"/>
      <c r="I10" s="3" t="s">
        <v>56</v>
      </c>
      <c r="J10" s="1">
        <v>45467</v>
      </c>
      <c r="K10" s="3" t="s">
        <v>477</v>
      </c>
      <c r="L10" s="4"/>
      <c r="M10"/>
    </row>
    <row r="11" spans="1:13" s="8" customFormat="1">
      <c r="A11" s="17"/>
      <c r="B11" s="3">
        <v>8</v>
      </c>
      <c r="C11" s="4" t="s">
        <v>592</v>
      </c>
      <c r="D11" s="57">
        <v>16123008</v>
      </c>
      <c r="E11" s="4" t="s">
        <v>130</v>
      </c>
      <c r="F11" s="65">
        <v>13146</v>
      </c>
      <c r="G11" s="4" t="s">
        <v>590</v>
      </c>
      <c r="H11" s="10"/>
      <c r="I11" s="3" t="s">
        <v>56</v>
      </c>
      <c r="J11" s="1">
        <v>45467</v>
      </c>
      <c r="K11" s="3" t="s">
        <v>477</v>
      </c>
      <c r="L11" s="4"/>
      <c r="M11"/>
    </row>
    <row r="12" spans="1:13" s="8" customFormat="1">
      <c r="A12" s="17"/>
      <c r="B12" s="3">
        <v>9</v>
      </c>
      <c r="C12" s="4" t="s">
        <v>592</v>
      </c>
      <c r="D12" s="57">
        <v>16123009</v>
      </c>
      <c r="E12" s="4" t="s">
        <v>131</v>
      </c>
      <c r="F12" s="65">
        <v>13145</v>
      </c>
      <c r="G12" s="4" t="s">
        <v>596</v>
      </c>
      <c r="H12" s="10"/>
      <c r="I12" s="3" t="s">
        <v>56</v>
      </c>
      <c r="J12" s="1">
        <v>45467</v>
      </c>
      <c r="K12" s="3" t="s">
        <v>477</v>
      </c>
      <c r="L12" s="4"/>
      <c r="M12"/>
    </row>
    <row r="13" spans="1:13" s="8" customFormat="1">
      <c r="A13" s="17"/>
      <c r="B13" s="3">
        <v>10</v>
      </c>
      <c r="C13" s="4" t="s">
        <v>592</v>
      </c>
      <c r="D13" s="57">
        <v>16123010</v>
      </c>
      <c r="E13" s="4" t="s">
        <v>132</v>
      </c>
      <c r="F13" s="65">
        <v>13496</v>
      </c>
      <c r="G13" s="4" t="s">
        <v>596</v>
      </c>
      <c r="H13" s="10"/>
      <c r="I13" s="3" t="s">
        <v>84</v>
      </c>
      <c r="J13" s="12" t="s">
        <v>642</v>
      </c>
      <c r="K13" s="3" t="s">
        <v>477</v>
      </c>
      <c r="L13" s="4"/>
      <c r="M13"/>
    </row>
    <row r="14" spans="1:13" s="8" customFormat="1">
      <c r="A14" s="17"/>
      <c r="B14" s="3">
        <v>11</v>
      </c>
      <c r="C14" s="4" t="s">
        <v>592</v>
      </c>
      <c r="D14" s="57">
        <v>16123011</v>
      </c>
      <c r="E14" s="4" t="s">
        <v>133</v>
      </c>
      <c r="F14" s="65">
        <v>13495</v>
      </c>
      <c r="G14" s="4" t="s">
        <v>594</v>
      </c>
      <c r="H14" s="10"/>
      <c r="I14" s="3" t="s">
        <v>84</v>
      </c>
      <c r="J14" s="12" t="s">
        <v>643</v>
      </c>
      <c r="K14" s="3" t="s">
        <v>477</v>
      </c>
      <c r="L14" s="4"/>
      <c r="M14"/>
    </row>
    <row r="15" spans="1:13" s="8" customFormat="1">
      <c r="A15" s="17"/>
      <c r="B15" s="3">
        <v>12</v>
      </c>
      <c r="C15" s="4" t="s">
        <v>592</v>
      </c>
      <c r="D15" s="57">
        <v>16123012</v>
      </c>
      <c r="E15" s="4" t="s">
        <v>134</v>
      </c>
      <c r="F15" s="65">
        <v>13384</v>
      </c>
      <c r="G15" s="4" t="s">
        <v>590</v>
      </c>
      <c r="H15" s="10"/>
      <c r="I15" s="3" t="s">
        <v>84</v>
      </c>
      <c r="J15" s="12" t="s">
        <v>644</v>
      </c>
      <c r="K15" s="3" t="s">
        <v>477</v>
      </c>
      <c r="L15" s="4"/>
      <c r="M15"/>
    </row>
    <row r="16" spans="1:13" s="8" customFormat="1">
      <c r="A16" s="17"/>
      <c r="B16" s="3">
        <v>13</v>
      </c>
      <c r="C16" s="4" t="s">
        <v>592</v>
      </c>
      <c r="D16" s="57">
        <v>16123013</v>
      </c>
      <c r="E16" s="4" t="s">
        <v>135</v>
      </c>
      <c r="F16" s="65">
        <v>13603</v>
      </c>
      <c r="G16" s="4" t="s">
        <v>590</v>
      </c>
      <c r="H16" s="10"/>
      <c r="I16" s="3" t="s">
        <v>85</v>
      </c>
      <c r="J16" s="156" t="s">
        <v>649</v>
      </c>
      <c r="K16" s="150" t="s">
        <v>477</v>
      </c>
      <c r="L16" s="4"/>
      <c r="M16"/>
    </row>
    <row r="17" spans="1:13" s="8" customFormat="1">
      <c r="A17" s="17"/>
      <c r="B17" s="3">
        <v>14</v>
      </c>
      <c r="C17" s="4" t="s">
        <v>592</v>
      </c>
      <c r="D17" s="57">
        <v>16123014</v>
      </c>
      <c r="E17" s="4"/>
      <c r="F17" s="65">
        <v>13763</v>
      </c>
      <c r="G17" s="4" t="s">
        <v>596</v>
      </c>
      <c r="H17" s="10"/>
      <c r="I17" s="3" t="s">
        <v>85</v>
      </c>
      <c r="J17" s="156" t="s">
        <v>649</v>
      </c>
      <c r="K17" s="150" t="s">
        <v>477</v>
      </c>
      <c r="L17" s="4"/>
      <c r="M17"/>
    </row>
    <row r="18" spans="1:13" s="8" customFormat="1">
      <c r="A18" s="17"/>
      <c r="B18" s="3">
        <v>15</v>
      </c>
      <c r="C18" s="4" t="s">
        <v>592</v>
      </c>
      <c r="D18" s="57">
        <v>16123015</v>
      </c>
      <c r="E18" s="4"/>
      <c r="F18" s="65">
        <v>13762</v>
      </c>
      <c r="G18" s="4" t="s">
        <v>594</v>
      </c>
      <c r="H18" s="10"/>
      <c r="I18" s="3" t="s">
        <v>85</v>
      </c>
      <c r="J18" s="156" t="s">
        <v>649</v>
      </c>
      <c r="K18" s="150" t="s">
        <v>477</v>
      </c>
      <c r="L18" s="4"/>
      <c r="M18"/>
    </row>
    <row r="19" spans="1:13" s="8" customFormat="1">
      <c r="A19" s="17"/>
      <c r="B19" s="3">
        <v>16</v>
      </c>
      <c r="C19" s="4" t="s">
        <v>592</v>
      </c>
      <c r="D19" s="57">
        <v>16123016</v>
      </c>
      <c r="E19" s="4" t="s">
        <v>136</v>
      </c>
      <c r="F19" s="65">
        <v>13934</v>
      </c>
      <c r="G19" s="4" t="s">
        <v>596</v>
      </c>
      <c r="H19" s="10"/>
      <c r="I19" s="3" t="s">
        <v>478</v>
      </c>
      <c r="J19" s="156" t="s">
        <v>660</v>
      </c>
      <c r="K19" s="150" t="s">
        <v>653</v>
      </c>
      <c r="L19" s="4"/>
      <c r="M19"/>
    </row>
    <row r="20" spans="1:13" s="8" customFormat="1">
      <c r="A20" s="17"/>
      <c r="B20" s="3">
        <v>17</v>
      </c>
      <c r="C20" s="4" t="s">
        <v>592</v>
      </c>
      <c r="D20" s="57">
        <v>16123017</v>
      </c>
      <c r="E20" s="4" t="s">
        <v>137</v>
      </c>
      <c r="F20" s="65">
        <v>13933</v>
      </c>
      <c r="G20" s="4" t="s">
        <v>594</v>
      </c>
      <c r="H20" s="10"/>
      <c r="I20" s="3" t="s">
        <v>478</v>
      </c>
      <c r="J20" s="156" t="s">
        <v>660</v>
      </c>
      <c r="K20" s="150" t="s">
        <v>653</v>
      </c>
      <c r="L20" s="4"/>
      <c r="M20"/>
    </row>
    <row r="21" spans="1:13" s="8" customFormat="1">
      <c r="A21" s="17"/>
      <c r="B21" s="3">
        <v>18</v>
      </c>
      <c r="C21" s="4" t="s">
        <v>592</v>
      </c>
      <c r="D21" s="57">
        <v>16123018</v>
      </c>
      <c r="E21" s="4"/>
      <c r="F21" s="65">
        <v>13890</v>
      </c>
      <c r="G21" s="4" t="s">
        <v>590</v>
      </c>
      <c r="H21" s="10"/>
      <c r="I21" s="3" t="s">
        <v>478</v>
      </c>
      <c r="J21" s="156" t="s">
        <v>660</v>
      </c>
      <c r="K21" s="150" t="s">
        <v>653</v>
      </c>
      <c r="L21" s="4"/>
      <c r="M21"/>
    </row>
    <row r="22" spans="1:13" s="8" customFormat="1">
      <c r="A22" s="17"/>
      <c r="B22" s="3">
        <v>19</v>
      </c>
      <c r="C22" s="4" t="s">
        <v>592</v>
      </c>
      <c r="D22" s="57">
        <v>16123019</v>
      </c>
      <c r="E22" s="4"/>
      <c r="F22" s="65">
        <v>14245</v>
      </c>
      <c r="G22" s="4" t="s">
        <v>594</v>
      </c>
      <c r="H22" s="10"/>
      <c r="I22" s="3" t="s">
        <v>665</v>
      </c>
      <c r="J22" s="156" t="s">
        <v>666</v>
      </c>
      <c r="K22" s="150" t="s">
        <v>653</v>
      </c>
      <c r="L22" s="4"/>
      <c r="M22"/>
    </row>
    <row r="23" spans="1:13" s="8" customFormat="1">
      <c r="A23" s="17"/>
      <c r="B23" s="3">
        <v>20</v>
      </c>
      <c r="C23" s="4" t="s">
        <v>592</v>
      </c>
      <c r="D23" s="57">
        <v>16123020</v>
      </c>
      <c r="E23" s="4"/>
      <c r="F23" s="65">
        <v>14244</v>
      </c>
      <c r="G23" s="4" t="s">
        <v>596</v>
      </c>
      <c r="H23" s="10"/>
      <c r="I23" s="3" t="s">
        <v>665</v>
      </c>
      <c r="J23" s="156" t="s">
        <v>666</v>
      </c>
      <c r="K23" s="150" t="s">
        <v>653</v>
      </c>
      <c r="L23" s="4"/>
      <c r="M23"/>
    </row>
    <row r="24" spans="1:13" s="8" customFormat="1">
      <c r="A24" s="17"/>
      <c r="B24" s="3">
        <v>21</v>
      </c>
      <c r="C24" s="4" t="s">
        <v>592</v>
      </c>
      <c r="D24" s="57">
        <v>16123021</v>
      </c>
      <c r="E24" s="4"/>
      <c r="F24" s="65">
        <v>14196</v>
      </c>
      <c r="G24" s="4" t="s">
        <v>590</v>
      </c>
      <c r="H24" s="10"/>
      <c r="I24" s="3" t="s">
        <v>665</v>
      </c>
      <c r="J24" s="156" t="s">
        <v>666</v>
      </c>
      <c r="K24" s="150" t="s">
        <v>653</v>
      </c>
      <c r="L24" s="4"/>
      <c r="M24"/>
    </row>
    <row r="25" spans="1:13" s="8" customFormat="1">
      <c r="A25" s="17"/>
      <c r="B25" s="3">
        <v>22</v>
      </c>
      <c r="C25" s="4" t="s">
        <v>592</v>
      </c>
      <c r="D25" s="57">
        <v>16123022</v>
      </c>
      <c r="E25" s="4"/>
      <c r="F25" s="65">
        <v>14421</v>
      </c>
      <c r="G25" s="4" t="s">
        <v>590</v>
      </c>
      <c r="H25" s="10"/>
      <c r="I25" s="8" t="s">
        <v>515</v>
      </c>
      <c r="J25" s="156" t="s">
        <v>675</v>
      </c>
      <c r="K25" s="150" t="s">
        <v>653</v>
      </c>
      <c r="L25" s="4"/>
      <c r="M25"/>
    </row>
    <row r="26" spans="1:13" s="8" customFormat="1">
      <c r="A26" s="17"/>
      <c r="B26" s="3">
        <v>23</v>
      </c>
      <c r="C26" s="4" t="s">
        <v>592</v>
      </c>
      <c r="D26" s="57">
        <v>16123023</v>
      </c>
      <c r="E26" s="4"/>
      <c r="F26" s="65">
        <v>14432</v>
      </c>
      <c r="G26" s="4" t="s">
        <v>594</v>
      </c>
      <c r="H26" s="10"/>
      <c r="I26" s="8" t="s">
        <v>515</v>
      </c>
      <c r="J26" s="156" t="s">
        <v>675</v>
      </c>
      <c r="K26" s="150" t="s">
        <v>653</v>
      </c>
      <c r="L26" s="4"/>
      <c r="M26"/>
    </row>
    <row r="27" spans="1:13" s="8" customFormat="1">
      <c r="A27" s="17"/>
      <c r="B27" s="3">
        <v>24</v>
      </c>
      <c r="C27" s="4" t="s">
        <v>592</v>
      </c>
      <c r="D27" s="57">
        <v>16123024</v>
      </c>
      <c r="E27" s="4"/>
      <c r="F27" s="65">
        <v>14433</v>
      </c>
      <c r="G27" s="4" t="s">
        <v>596</v>
      </c>
      <c r="H27" s="10"/>
      <c r="I27" s="8" t="s">
        <v>515</v>
      </c>
      <c r="J27" s="156" t="s">
        <v>675</v>
      </c>
      <c r="K27" s="150" t="s">
        <v>653</v>
      </c>
      <c r="L27" s="4"/>
      <c r="M27"/>
    </row>
    <row r="28" spans="1:13" s="8" customFormat="1">
      <c r="A28" s="17"/>
      <c r="B28" s="3">
        <v>25</v>
      </c>
      <c r="C28" s="4" t="s">
        <v>592</v>
      </c>
      <c r="D28" s="57">
        <v>16123025</v>
      </c>
      <c r="E28" s="4"/>
      <c r="F28" s="65">
        <v>14681</v>
      </c>
      <c r="G28" s="4" t="s">
        <v>590</v>
      </c>
      <c r="H28" s="10"/>
      <c r="I28" s="3" t="s">
        <v>33</v>
      </c>
      <c r="J28" s="144">
        <v>45645</v>
      </c>
      <c r="K28" s="3" t="s">
        <v>653</v>
      </c>
      <c r="L28" s="4"/>
      <c r="M28"/>
    </row>
    <row r="29" spans="1:13" s="8" customFormat="1">
      <c r="A29" s="17"/>
      <c r="B29" s="3">
        <v>26</v>
      </c>
      <c r="C29" s="4" t="s">
        <v>592</v>
      </c>
      <c r="D29" s="57">
        <v>16123026</v>
      </c>
      <c r="E29" s="4"/>
      <c r="F29" s="65">
        <v>14695</v>
      </c>
      <c r="G29" s="4" t="s">
        <v>594</v>
      </c>
      <c r="H29" s="10"/>
      <c r="I29" s="3" t="s">
        <v>33</v>
      </c>
      <c r="J29" s="144">
        <v>45645</v>
      </c>
      <c r="K29" s="3" t="s">
        <v>653</v>
      </c>
      <c r="L29" s="4"/>
      <c r="M29"/>
    </row>
    <row r="30" spans="1:13" s="8" customFormat="1">
      <c r="A30" s="17"/>
      <c r="B30" s="3">
        <v>27</v>
      </c>
      <c r="C30" s="4" t="s">
        <v>592</v>
      </c>
      <c r="D30" s="57">
        <v>16123027</v>
      </c>
      <c r="E30" s="4"/>
      <c r="F30" s="65">
        <v>14696</v>
      </c>
      <c r="G30" s="4" t="s">
        <v>596</v>
      </c>
      <c r="H30" s="10"/>
      <c r="I30" s="3" t="s">
        <v>33</v>
      </c>
      <c r="J30" s="144">
        <v>45645</v>
      </c>
      <c r="K30" s="3" t="s">
        <v>653</v>
      </c>
      <c r="L30" s="4"/>
      <c r="M30"/>
    </row>
    <row r="31" spans="1:13" s="8" customFormat="1">
      <c r="A31" s="17"/>
      <c r="B31" s="3">
        <v>28</v>
      </c>
      <c r="C31" s="4" t="s">
        <v>592</v>
      </c>
      <c r="D31" s="57">
        <v>16123028</v>
      </c>
      <c r="E31" s="4"/>
      <c r="F31" s="65">
        <v>14936</v>
      </c>
      <c r="G31" s="4" t="s">
        <v>590</v>
      </c>
      <c r="H31" s="10"/>
      <c r="I31" s="3" t="s">
        <v>518</v>
      </c>
      <c r="J31" s="144" t="s">
        <v>692</v>
      </c>
      <c r="K31" s="3" t="s">
        <v>653</v>
      </c>
      <c r="L31" s="4"/>
      <c r="M31"/>
    </row>
    <row r="32" spans="1:13" s="8" customFormat="1">
      <c r="A32" s="17"/>
      <c r="B32" s="3">
        <v>29</v>
      </c>
      <c r="C32" s="4" t="s">
        <v>592</v>
      </c>
      <c r="D32" s="57">
        <v>16123029</v>
      </c>
      <c r="E32" s="4"/>
      <c r="F32" s="65">
        <v>14973</v>
      </c>
      <c r="G32" s="4" t="s">
        <v>594</v>
      </c>
      <c r="H32" s="10"/>
      <c r="I32" s="3" t="s">
        <v>518</v>
      </c>
      <c r="J32" s="144" t="s">
        <v>692</v>
      </c>
      <c r="K32" s="3" t="s">
        <v>653</v>
      </c>
      <c r="L32" s="4"/>
      <c r="M32"/>
    </row>
    <row r="33" spans="1:13" s="8" customFormat="1">
      <c r="A33" s="17"/>
      <c r="B33" s="3">
        <v>30</v>
      </c>
      <c r="C33" s="4" t="s">
        <v>592</v>
      </c>
      <c r="D33" s="57">
        <v>16123030</v>
      </c>
      <c r="E33" s="4"/>
      <c r="F33" s="65">
        <v>14974</v>
      </c>
      <c r="G33" s="4" t="s">
        <v>596</v>
      </c>
      <c r="H33" s="10"/>
      <c r="I33" s="3" t="s">
        <v>518</v>
      </c>
      <c r="J33" s="144" t="s">
        <v>692</v>
      </c>
      <c r="K33" s="3" t="s">
        <v>653</v>
      </c>
      <c r="L33" s="4"/>
      <c r="M33"/>
    </row>
    <row r="34" spans="1:13" s="8" customFormat="1">
      <c r="A34" s="149"/>
      <c r="B34" s="150">
        <v>31</v>
      </c>
      <c r="C34" s="4" t="s">
        <v>592</v>
      </c>
      <c r="D34" s="57">
        <v>16123031</v>
      </c>
      <c r="E34" s="151"/>
      <c r="F34" s="153">
        <v>15214</v>
      </c>
      <c r="G34" s="4" t="s">
        <v>590</v>
      </c>
      <c r="H34" s="10"/>
      <c r="I34" s="3" t="s">
        <v>217</v>
      </c>
      <c r="J34" s="144" t="s">
        <v>700</v>
      </c>
      <c r="K34" s="3" t="s">
        <v>653</v>
      </c>
      <c r="L34" s="4"/>
      <c r="M34"/>
    </row>
    <row r="35" spans="1:13">
      <c r="A35" s="3"/>
      <c r="B35" s="3">
        <v>32</v>
      </c>
      <c r="C35" s="4" t="s">
        <v>592</v>
      </c>
      <c r="D35" s="57">
        <v>16123032</v>
      </c>
      <c r="E35" s="4"/>
      <c r="F35" s="65">
        <v>15254</v>
      </c>
      <c r="G35" s="4" t="s">
        <v>594</v>
      </c>
      <c r="H35" s="10"/>
      <c r="I35" s="3" t="s">
        <v>217</v>
      </c>
      <c r="J35" s="144" t="s">
        <v>700</v>
      </c>
      <c r="K35" s="3" t="s">
        <v>653</v>
      </c>
      <c r="L35" s="4"/>
    </row>
    <row r="36" spans="1:13">
      <c r="A36" s="3"/>
      <c r="B36" s="3">
        <v>33</v>
      </c>
      <c r="C36" s="4" t="s">
        <v>592</v>
      </c>
      <c r="D36" s="57">
        <v>16123033</v>
      </c>
      <c r="E36" s="4"/>
      <c r="F36" s="65">
        <v>15255</v>
      </c>
      <c r="G36" s="4" t="s">
        <v>596</v>
      </c>
      <c r="H36" s="10"/>
      <c r="I36" s="3" t="s">
        <v>217</v>
      </c>
      <c r="J36" s="144" t="s">
        <v>700</v>
      </c>
      <c r="K36" s="3" t="s">
        <v>653</v>
      </c>
      <c r="L36" s="4"/>
    </row>
    <row r="37" spans="1:13">
      <c r="A37" s="3"/>
      <c r="B37" s="3">
        <v>34</v>
      </c>
      <c r="C37" s="4" t="s">
        <v>592</v>
      </c>
      <c r="D37" s="57">
        <v>16123034</v>
      </c>
      <c r="E37" s="4"/>
      <c r="F37" s="65" t="s">
        <v>729</v>
      </c>
      <c r="G37" s="4" t="s">
        <v>730</v>
      </c>
      <c r="H37" s="10"/>
      <c r="I37" s="3" t="s">
        <v>719</v>
      </c>
      <c r="J37" s="144">
        <v>45744</v>
      </c>
      <c r="K37" s="3" t="s">
        <v>720</v>
      </c>
      <c r="L37" s="4"/>
    </row>
    <row r="38" spans="1:13">
      <c r="A38" s="3"/>
      <c r="B38" s="3">
        <v>35</v>
      </c>
      <c r="C38" s="4" t="s">
        <v>592</v>
      </c>
      <c r="D38" s="57">
        <v>16123035</v>
      </c>
      <c r="E38" s="4"/>
      <c r="F38" s="65" t="s">
        <v>769</v>
      </c>
      <c r="G38" s="4" t="s">
        <v>730</v>
      </c>
      <c r="H38" s="10"/>
      <c r="I38" s="3" t="s">
        <v>562</v>
      </c>
      <c r="J38" s="144">
        <v>45784</v>
      </c>
      <c r="K38" s="3" t="s">
        <v>710</v>
      </c>
      <c r="L38" s="4"/>
    </row>
    <row r="39" spans="1:13">
      <c r="A39" s="3"/>
      <c r="B39" s="3">
        <v>36</v>
      </c>
      <c r="C39" s="4" t="s">
        <v>592</v>
      </c>
      <c r="D39" s="57">
        <v>16123036</v>
      </c>
      <c r="E39" s="4"/>
      <c r="F39" s="65">
        <v>16076</v>
      </c>
      <c r="G39" s="4" t="s">
        <v>730</v>
      </c>
      <c r="H39" s="10"/>
      <c r="I39" s="3" t="s">
        <v>790</v>
      </c>
      <c r="J39" s="144">
        <v>45805</v>
      </c>
      <c r="K39" s="3" t="s">
        <v>710</v>
      </c>
      <c r="L39" s="4"/>
    </row>
    <row r="40" spans="1:13">
      <c r="A40" s="3"/>
      <c r="B40" s="3">
        <v>37</v>
      </c>
      <c r="C40" s="4" t="s">
        <v>592</v>
      </c>
      <c r="D40" s="57">
        <v>16123037</v>
      </c>
      <c r="E40" s="4"/>
      <c r="F40" s="65">
        <v>16329</v>
      </c>
      <c r="G40" s="4" t="s">
        <v>730</v>
      </c>
      <c r="H40" s="10"/>
      <c r="I40" s="3" t="s">
        <v>635</v>
      </c>
      <c r="J40" s="168">
        <v>45835</v>
      </c>
      <c r="K40" s="3" t="s">
        <v>653</v>
      </c>
      <c r="L40" s="4"/>
    </row>
    <row r="41" spans="1:13" hidden="1">
      <c r="A41" s="3"/>
      <c r="B41" s="3">
        <v>38</v>
      </c>
      <c r="C41" s="4" t="s">
        <v>592</v>
      </c>
      <c r="D41" s="57">
        <v>16123038</v>
      </c>
      <c r="E41" s="4"/>
      <c r="F41" s="65">
        <v>16782</v>
      </c>
      <c r="G41" s="4" t="s">
        <v>730</v>
      </c>
      <c r="H41" s="10"/>
      <c r="I41" s="3" t="s">
        <v>808</v>
      </c>
      <c r="J41" s="168">
        <v>45863</v>
      </c>
      <c r="K41" s="3" t="s">
        <v>809</v>
      </c>
      <c r="L41" s="4"/>
    </row>
    <row r="42" spans="1:13">
      <c r="A42" s="3"/>
      <c r="B42" s="3">
        <v>39</v>
      </c>
      <c r="C42" s="4" t="s">
        <v>592</v>
      </c>
      <c r="D42" s="57">
        <v>16123039</v>
      </c>
      <c r="E42" s="4"/>
      <c r="F42" s="65">
        <v>16782</v>
      </c>
      <c r="G42" s="4" t="s">
        <v>730</v>
      </c>
      <c r="H42" s="10"/>
      <c r="I42" s="3" t="s">
        <v>84</v>
      </c>
      <c r="J42" s="168">
        <v>45863</v>
      </c>
      <c r="K42" s="3" t="s">
        <v>653</v>
      </c>
      <c r="L42" s="4"/>
    </row>
    <row r="43" spans="1:13">
      <c r="A43" s="3"/>
      <c r="B43" s="3">
        <v>40</v>
      </c>
      <c r="C43" s="4" t="s">
        <v>592</v>
      </c>
      <c r="D43" s="57">
        <v>16123040</v>
      </c>
      <c r="E43" s="4"/>
      <c r="F43" s="65">
        <v>17024</v>
      </c>
      <c r="G43" s="4" t="s">
        <v>822</v>
      </c>
      <c r="H43" s="10"/>
      <c r="I43" s="3" t="s">
        <v>85</v>
      </c>
      <c r="J43" s="168">
        <v>45889</v>
      </c>
      <c r="K43" s="3" t="s">
        <v>653</v>
      </c>
      <c r="L43" s="4"/>
    </row>
    <row r="44" spans="1:13">
      <c r="A44" s="3"/>
      <c r="B44" s="3">
        <v>41</v>
      </c>
      <c r="C44" s="4" t="s">
        <v>592</v>
      </c>
      <c r="D44" s="57">
        <v>16123041</v>
      </c>
      <c r="E44" s="4"/>
      <c r="F44" s="65">
        <v>17245</v>
      </c>
      <c r="G44" s="4" t="s">
        <v>822</v>
      </c>
      <c r="H44" s="10"/>
      <c r="I44" s="3" t="s">
        <v>481</v>
      </c>
      <c r="J44" s="168">
        <v>45916</v>
      </c>
      <c r="K44" s="3" t="s">
        <v>653</v>
      </c>
      <c r="L44" s="4"/>
    </row>
    <row r="45" spans="1:13">
      <c r="A45" s="3"/>
      <c r="B45" s="3">
        <v>42</v>
      </c>
      <c r="C45" s="4" t="s">
        <v>592</v>
      </c>
      <c r="D45" s="57">
        <v>16123042</v>
      </c>
      <c r="E45" s="4"/>
      <c r="F45" s="65">
        <v>17245</v>
      </c>
      <c r="G45" s="4" t="s">
        <v>822</v>
      </c>
      <c r="H45" s="10"/>
      <c r="I45" s="3" t="s">
        <v>661</v>
      </c>
      <c r="J45" s="168">
        <v>45946</v>
      </c>
      <c r="K45" s="3" t="s">
        <v>653</v>
      </c>
      <c r="L45" s="4"/>
    </row>
    <row r="46" spans="1:13">
      <c r="A46" s="3"/>
      <c r="B46" s="3">
        <v>43</v>
      </c>
      <c r="C46" s="4" t="s">
        <v>592</v>
      </c>
      <c r="D46" s="57">
        <v>16123043</v>
      </c>
      <c r="E46" s="4"/>
      <c r="F46" s="65">
        <v>17858</v>
      </c>
      <c r="G46" s="4" t="s">
        <v>822</v>
      </c>
      <c r="H46" s="10"/>
      <c r="I46" s="3" t="s">
        <v>857</v>
      </c>
      <c r="J46" s="168">
        <v>45975</v>
      </c>
      <c r="K46" s="3" t="s">
        <v>653</v>
      </c>
      <c r="L46" s="4"/>
    </row>
    <row r="47" spans="1:13">
      <c r="A47" s="3"/>
      <c r="B47" s="3">
        <v>44</v>
      </c>
      <c r="C47" s="4" t="s">
        <v>592</v>
      </c>
      <c r="D47" s="57">
        <v>16123044</v>
      </c>
      <c r="E47" s="4"/>
      <c r="F47" s="65">
        <v>18127</v>
      </c>
      <c r="G47" s="4" t="s">
        <v>822</v>
      </c>
      <c r="H47" s="10"/>
      <c r="I47" s="3" t="s">
        <v>505</v>
      </c>
      <c r="J47" s="168">
        <v>46008</v>
      </c>
      <c r="K47" s="3" t="s">
        <v>653</v>
      </c>
      <c r="L47" s="4"/>
    </row>
    <row r="48" spans="1:13">
      <c r="A48" s="3"/>
      <c r="B48" s="3">
        <v>45</v>
      </c>
      <c r="C48" s="4"/>
      <c r="D48" s="57">
        <v>16123045</v>
      </c>
      <c r="E48" s="4"/>
      <c r="F48" s="65"/>
      <c r="G48" s="4"/>
      <c r="H48" s="10"/>
      <c r="I48" s="3"/>
      <c r="J48" s="3"/>
      <c r="K48" s="3"/>
      <c r="L48" s="4"/>
    </row>
    <row r="49" spans="1:12">
      <c r="A49" s="3"/>
      <c r="B49" s="3">
        <v>46</v>
      </c>
      <c r="C49" s="4"/>
      <c r="D49" s="57">
        <v>16123046</v>
      </c>
      <c r="E49" s="4"/>
      <c r="F49" s="65"/>
      <c r="G49" s="4"/>
      <c r="H49" s="10"/>
      <c r="I49" s="3"/>
      <c r="J49" s="3"/>
      <c r="K49" s="3"/>
      <c r="L49" s="4"/>
    </row>
    <row r="50" spans="1:12">
      <c r="A50" s="3"/>
      <c r="B50" s="3">
        <v>47</v>
      </c>
      <c r="C50" s="4"/>
      <c r="D50" s="57">
        <v>16123047</v>
      </c>
      <c r="E50" s="4"/>
      <c r="F50" s="65"/>
      <c r="G50" s="4"/>
      <c r="H50" s="10"/>
      <c r="I50" s="3"/>
      <c r="J50" s="3"/>
      <c r="K50" s="3"/>
      <c r="L50" s="4"/>
    </row>
    <row r="51" spans="1:12">
      <c r="A51" s="3"/>
      <c r="B51" s="3">
        <v>48</v>
      </c>
      <c r="C51" s="4"/>
      <c r="D51" s="57">
        <v>16123048</v>
      </c>
      <c r="E51" s="4"/>
      <c r="F51" s="65"/>
      <c r="G51" s="4"/>
      <c r="H51" s="10"/>
      <c r="I51" s="3"/>
      <c r="J51" s="3"/>
      <c r="K51" s="3"/>
      <c r="L51" s="4"/>
    </row>
    <row r="52" spans="1:12">
      <c r="A52" s="3"/>
      <c r="B52" s="3">
        <v>49</v>
      </c>
      <c r="C52" s="4"/>
      <c r="D52" s="57">
        <v>16123049</v>
      </c>
      <c r="E52" s="4"/>
      <c r="F52" s="65"/>
      <c r="G52" s="4"/>
      <c r="H52" s="10"/>
      <c r="I52" s="3"/>
      <c r="J52" s="3"/>
      <c r="K52" s="3"/>
      <c r="L52" s="4"/>
    </row>
    <row r="53" spans="1:12">
      <c r="A53" s="3"/>
      <c r="B53" s="3">
        <v>50</v>
      </c>
      <c r="C53" s="4"/>
      <c r="D53" s="57">
        <v>16123050</v>
      </c>
      <c r="E53" s="4"/>
      <c r="F53" s="65"/>
      <c r="G53" s="4"/>
      <c r="H53" s="10"/>
      <c r="I53" s="3"/>
      <c r="J53" s="3"/>
      <c r="K53" s="3"/>
      <c r="L53" s="4"/>
    </row>
    <row r="54" spans="1:12">
      <c r="A54" s="3"/>
      <c r="B54" s="3">
        <v>51</v>
      </c>
      <c r="C54" s="4"/>
      <c r="D54" s="12"/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12"/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12"/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12"/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12"/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12"/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12"/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12"/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12"/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12"/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12"/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12"/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12"/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12"/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12"/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12"/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12"/>
      <c r="E70" s="4"/>
      <c r="F70" s="65"/>
      <c r="G70" s="4"/>
      <c r="H70" s="10"/>
      <c r="I70" s="3"/>
      <c r="J70" s="3"/>
      <c r="K70" s="3"/>
      <c r="L70" s="4"/>
    </row>
    <row r="71" spans="1:12">
      <c r="A71" s="3"/>
      <c r="B71" s="3">
        <v>68</v>
      </c>
      <c r="C71" s="4"/>
      <c r="D71" s="12"/>
      <c r="E71" s="4"/>
      <c r="F71" s="65"/>
      <c r="G71" s="4"/>
      <c r="H71" s="10"/>
      <c r="I71" s="3"/>
      <c r="J71" s="3"/>
      <c r="K71" s="3"/>
      <c r="L71" s="4"/>
    </row>
    <row r="72" spans="1:12">
      <c r="A72" s="3"/>
      <c r="B72" s="3">
        <v>69</v>
      </c>
      <c r="C72" s="4"/>
      <c r="D72" s="12"/>
      <c r="E72" s="4"/>
      <c r="F72" s="65"/>
      <c r="G72" s="4"/>
      <c r="H72" s="10"/>
      <c r="I72" s="3"/>
      <c r="J72" s="3"/>
      <c r="K72" s="3"/>
      <c r="L72" s="4"/>
    </row>
    <row r="73" spans="1:12">
      <c r="A73" s="3"/>
      <c r="B73" s="3">
        <v>70</v>
      </c>
      <c r="C73" s="4"/>
      <c r="D73" s="12"/>
      <c r="E73" s="4"/>
      <c r="F73" s="65"/>
      <c r="G73" s="4"/>
      <c r="H73" s="10"/>
      <c r="I73" s="3"/>
      <c r="J73" s="3"/>
      <c r="K73" s="3"/>
      <c r="L73" s="4"/>
    </row>
    <row r="74" spans="1:12">
      <c r="A74" s="3"/>
      <c r="B74" s="3">
        <v>71</v>
      </c>
      <c r="C74" s="4"/>
      <c r="D74" s="12"/>
      <c r="E74" s="4"/>
      <c r="F74" s="65"/>
      <c r="G74" s="4"/>
      <c r="H74" s="10"/>
      <c r="I74" s="3"/>
      <c r="J74" s="3"/>
      <c r="K74" s="3"/>
      <c r="L74" s="4"/>
    </row>
    <row r="75" spans="1:12">
      <c r="A75" s="3"/>
      <c r="B75" s="3">
        <v>72</v>
      </c>
      <c r="C75" s="4"/>
      <c r="D75" s="12"/>
      <c r="E75" s="4"/>
      <c r="F75" s="65"/>
      <c r="G75" s="4"/>
      <c r="H75" s="10"/>
      <c r="I75" s="3"/>
      <c r="J75" s="3"/>
      <c r="K75" s="3"/>
      <c r="L75" s="4"/>
    </row>
    <row r="76" spans="1:12">
      <c r="A76" s="3"/>
      <c r="B76" s="3">
        <v>73</v>
      </c>
      <c r="C76" s="4"/>
      <c r="D76" s="12"/>
      <c r="E76" s="4"/>
      <c r="F76" s="65"/>
      <c r="G76" s="4"/>
      <c r="H76" s="10"/>
      <c r="I76" s="3"/>
      <c r="J76" s="3"/>
      <c r="K76" s="3"/>
      <c r="L76" s="4"/>
    </row>
    <row r="77" spans="1:12">
      <c r="A77" s="3"/>
      <c r="B77" s="3">
        <v>74</v>
      </c>
      <c r="C77" s="4"/>
      <c r="D77" s="12"/>
      <c r="E77" s="4"/>
      <c r="F77" s="65"/>
      <c r="G77" s="4"/>
      <c r="H77" s="10"/>
      <c r="I77" s="3"/>
      <c r="J77" s="3"/>
      <c r="K77" s="3"/>
      <c r="L77" s="4"/>
    </row>
    <row r="78" spans="1:12">
      <c r="A78" s="3"/>
      <c r="B78" s="3">
        <v>75</v>
      </c>
      <c r="C78" s="4"/>
      <c r="D78" s="12"/>
      <c r="E78" s="4"/>
      <c r="F78" s="65"/>
      <c r="G78" s="4"/>
      <c r="H78" s="10"/>
      <c r="I78" s="3"/>
      <c r="J78" s="3"/>
      <c r="K78" s="3"/>
      <c r="L78" s="4"/>
    </row>
    <row r="79" spans="1:12">
      <c r="A79" s="3"/>
      <c r="B79" s="3">
        <v>76</v>
      </c>
      <c r="C79" s="4"/>
      <c r="D79" s="12"/>
      <c r="E79" s="4"/>
      <c r="F79" s="65"/>
      <c r="G79" s="4"/>
      <c r="H79" s="10"/>
      <c r="I79" s="3"/>
      <c r="J79" s="3"/>
      <c r="K79" s="3"/>
      <c r="L79" s="4"/>
    </row>
    <row r="80" spans="1:12">
      <c r="A80" s="3"/>
      <c r="B80" s="3">
        <v>77</v>
      </c>
      <c r="C80" s="4"/>
      <c r="D80" s="12"/>
      <c r="E80" s="4"/>
      <c r="F80" s="65"/>
      <c r="G80" s="4"/>
      <c r="H80" s="10"/>
      <c r="I80" s="3"/>
      <c r="J80" s="3"/>
      <c r="K80" s="3"/>
      <c r="L80" s="4"/>
    </row>
    <row r="81" spans="1:12">
      <c r="A81" s="3"/>
      <c r="B81" s="3">
        <v>78</v>
      </c>
      <c r="C81" s="4"/>
      <c r="D81" s="12"/>
      <c r="E81" s="4"/>
      <c r="F81" s="65"/>
      <c r="G81" s="4"/>
      <c r="H81" s="10"/>
      <c r="I81" s="3"/>
      <c r="J81" s="3"/>
      <c r="K81" s="3"/>
      <c r="L81" s="4"/>
    </row>
    <row r="82" spans="1:12">
      <c r="A82" s="3"/>
      <c r="B82" s="3">
        <v>79</v>
      </c>
      <c r="C82" s="4"/>
      <c r="D82" s="12"/>
      <c r="E82" s="4"/>
      <c r="F82" s="65"/>
      <c r="G82" s="4"/>
      <c r="H82" s="10"/>
      <c r="I82" s="3"/>
      <c r="J82" s="3"/>
      <c r="K82" s="3"/>
      <c r="L82" s="4"/>
    </row>
    <row r="83" spans="1:12">
      <c r="A83" s="3"/>
      <c r="B83" s="3">
        <v>80</v>
      </c>
      <c r="C83" s="4"/>
      <c r="D83" s="12"/>
      <c r="E83" s="4"/>
      <c r="F83" s="65"/>
      <c r="G83" s="4"/>
      <c r="H83" s="10"/>
      <c r="I83" s="3"/>
      <c r="J83" s="3"/>
      <c r="K83" s="3"/>
      <c r="L83" s="4"/>
    </row>
    <row r="84" spans="1:12">
      <c r="A84" s="3"/>
      <c r="B84" s="3">
        <v>81</v>
      </c>
      <c r="C84" s="4"/>
      <c r="D84" s="12"/>
      <c r="E84" s="4"/>
      <c r="F84" s="65"/>
      <c r="G84" s="4"/>
      <c r="H84" s="10"/>
      <c r="I84" s="3"/>
      <c r="J84" s="3"/>
      <c r="K84" s="3"/>
      <c r="L84" s="4"/>
    </row>
    <row r="85" spans="1:12">
      <c r="A85" s="3"/>
      <c r="B85" s="3">
        <v>82</v>
      </c>
      <c r="C85" s="4"/>
      <c r="D85" s="12"/>
      <c r="E85" s="4"/>
      <c r="F85" s="65"/>
      <c r="G85" s="4"/>
      <c r="H85" s="10"/>
      <c r="I85" s="3"/>
      <c r="J85" s="3"/>
      <c r="K85" s="3"/>
      <c r="L85" s="4"/>
    </row>
    <row r="86" spans="1:12">
      <c r="A86" s="3"/>
      <c r="B86" s="3">
        <v>83</v>
      </c>
      <c r="C86" s="4"/>
      <c r="D86" s="12"/>
      <c r="E86" s="4"/>
      <c r="F86" s="65"/>
      <c r="G86" s="4"/>
      <c r="H86" s="10"/>
      <c r="I86" s="3"/>
      <c r="J86" s="3"/>
      <c r="K86" s="3"/>
      <c r="L86" s="4"/>
    </row>
    <row r="87" spans="1:12">
      <c r="A87" s="3"/>
      <c r="B87" s="3">
        <v>84</v>
      </c>
      <c r="C87" s="4"/>
      <c r="D87" s="12"/>
      <c r="E87" s="4"/>
      <c r="F87" s="65"/>
      <c r="G87" s="4"/>
      <c r="H87" s="10"/>
      <c r="I87" s="3"/>
      <c r="J87" s="3"/>
      <c r="K87" s="3"/>
      <c r="L87" s="4"/>
    </row>
  </sheetData>
  <autoFilter ref="A3:K9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26" priority="1" operator="containsText" text="見積！">
      <formula>NOT(ISERROR(SEARCH("見積！",A1)))</formula>
    </cfRule>
  </conditionalFormatting>
  <conditionalFormatting sqref="A4:A1048576">
    <cfRule type="containsText" dxfId="125" priority="2" operator="containsText" text="着手">
      <formula>NOT(ISERROR(SEARCH("着手",A4)))</formula>
    </cfRule>
    <cfRule type="containsText" dxfId="124" priority="3" operator="containsText" text="見積完了">
      <formula>NOT(ISERROR(SEARCH("見積完了",A4)))</formula>
    </cfRule>
    <cfRule type="containsText" dxfId="123" priority="4" operator="containsText" text="中止">
      <formula>NOT(ISERROR(SEARCH("中止",A4)))</formula>
    </cfRule>
    <cfRule type="containsText" dxfId="122" priority="5" operator="containsText" text="保留">
      <formula>NOT(ISERROR(SEARCH("保留",A4)))</formula>
    </cfRule>
    <cfRule type="containsText" dxfId="121" priority="6" operator="containsText" text="進行中">
      <formula>NOT(ISERROR(SEARCH("進行中",A4)))</formula>
    </cfRule>
    <cfRule type="containsText" dxfId="120" priority="7" operator="containsText" text="完了">
      <formula>NOT(ISERROR(SEARCH("完了",A4)))</formula>
    </cfRule>
  </conditionalFormatting>
  <dataValidations count="2">
    <dataValidation imeMode="off" allowBlank="1" showInputMessage="1" showErrorMessage="1" sqref="G1 B1:B1048576 H1:H1048576 D1:F1048576 J1:J1048576" xr:uid="{E36FA92C-6738-43AE-8249-DC99A75F0584}"/>
    <dataValidation imeMode="on" allowBlank="1" showInputMessage="1" showErrorMessage="1" sqref="A2 C1:C1048576 G2:G1048576 I1:I1048576 K1:L1048576" xr:uid="{B303507D-E595-48EC-9AF7-30448CA0DE9C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47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9A5C72-4ABD-4926-A772-6B83E801AE51}">
          <x14:formula1>
            <xm:f>タスク!$B$3:$B$14</xm:f>
          </x14:formula1>
          <xm:sqref>A4:A1048576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C2EA-F86A-4DF9-8DCE-EB1EDF8C602C}">
  <sheetPr codeName="Sheet9">
    <pageSetUpPr fitToPage="1"/>
  </sheetPr>
  <dimension ref="A1:M133"/>
  <sheetViews>
    <sheetView zoomScale="130" zoomScaleNormal="130" workbookViewId="0">
      <pane ySplit="3" topLeftCell="A38" activePane="bottomLeft" state="frozen"/>
      <selection activeCell="A11" sqref="A11"/>
      <selection pane="bottomLeft" activeCell="A37" sqref="A4:XFD37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s="8" customFormat="1" ht="18.600000000000001" hidden="1" thickTop="1">
      <c r="A4" s="17" t="s">
        <v>28</v>
      </c>
      <c r="B4" s="3">
        <v>1</v>
      </c>
      <c r="C4" s="4" t="s">
        <v>139</v>
      </c>
      <c r="D4" s="56">
        <v>16102047</v>
      </c>
      <c r="E4" s="4" t="s">
        <v>140</v>
      </c>
      <c r="F4" s="65" t="s">
        <v>141</v>
      </c>
      <c r="G4" s="4" t="s">
        <v>142</v>
      </c>
      <c r="H4" s="10"/>
      <c r="I4" s="3" t="s">
        <v>33</v>
      </c>
      <c r="J4" s="1">
        <v>44923</v>
      </c>
      <c r="K4" s="3" t="s">
        <v>34</v>
      </c>
      <c r="L4" s="5"/>
      <c r="M4"/>
    </row>
    <row r="5" spans="1:13" s="8" customFormat="1" hidden="1">
      <c r="A5" s="17" t="s">
        <v>28</v>
      </c>
      <c r="B5" s="3">
        <v>2</v>
      </c>
      <c r="C5" s="4" t="s">
        <v>139</v>
      </c>
      <c r="D5" s="56">
        <v>16102048</v>
      </c>
      <c r="E5" s="4" t="s">
        <v>143</v>
      </c>
      <c r="F5" s="65" t="s">
        <v>144</v>
      </c>
      <c r="G5" s="4" t="s">
        <v>145</v>
      </c>
      <c r="H5" s="10"/>
      <c r="I5" s="3" t="s">
        <v>33</v>
      </c>
      <c r="J5" s="1">
        <v>44923</v>
      </c>
      <c r="K5" s="3" t="s">
        <v>34</v>
      </c>
      <c r="L5" s="5"/>
      <c r="M5"/>
    </row>
    <row r="6" spans="1:13" s="8" customFormat="1" hidden="1">
      <c r="A6" s="17" t="s">
        <v>28</v>
      </c>
      <c r="B6" s="3">
        <v>3</v>
      </c>
      <c r="C6" s="4" t="s">
        <v>139</v>
      </c>
      <c r="D6" s="56">
        <v>16102049</v>
      </c>
      <c r="E6" s="4" t="s">
        <v>146</v>
      </c>
      <c r="F6" s="65">
        <v>8443</v>
      </c>
      <c r="G6" s="4" t="s">
        <v>147</v>
      </c>
      <c r="H6" s="10"/>
      <c r="I6" s="3" t="s">
        <v>33</v>
      </c>
      <c r="J6" s="1">
        <v>44937</v>
      </c>
      <c r="K6" s="3" t="s">
        <v>34</v>
      </c>
      <c r="L6" s="5"/>
      <c r="M6"/>
    </row>
    <row r="7" spans="1:13" s="8" customFormat="1" hidden="1">
      <c r="A7" s="17" t="s">
        <v>28</v>
      </c>
      <c r="B7" s="3">
        <v>4</v>
      </c>
      <c r="C7" s="4" t="s">
        <v>148</v>
      </c>
      <c r="D7" s="56">
        <v>16102050</v>
      </c>
      <c r="E7" s="4" t="s">
        <v>149</v>
      </c>
      <c r="F7" s="65">
        <v>8459</v>
      </c>
      <c r="G7" s="4" t="s">
        <v>142</v>
      </c>
      <c r="H7" s="10"/>
      <c r="I7" s="3" t="s">
        <v>74</v>
      </c>
      <c r="J7" s="1">
        <v>44960</v>
      </c>
      <c r="K7" s="3" t="s">
        <v>34</v>
      </c>
      <c r="L7" s="5"/>
      <c r="M7"/>
    </row>
    <row r="8" spans="1:13" s="8" customFormat="1" hidden="1">
      <c r="A8" s="17" t="s">
        <v>28</v>
      </c>
      <c r="B8" s="3">
        <v>5</v>
      </c>
      <c r="C8" s="4" t="s">
        <v>148</v>
      </c>
      <c r="D8" s="56">
        <v>16102051</v>
      </c>
      <c r="E8" s="4" t="s">
        <v>150</v>
      </c>
      <c r="F8" s="65">
        <v>8476</v>
      </c>
      <c r="G8" s="4" t="s">
        <v>145</v>
      </c>
      <c r="H8" s="10"/>
      <c r="I8" s="3" t="s">
        <v>74</v>
      </c>
      <c r="J8" s="1">
        <v>44960</v>
      </c>
      <c r="K8" s="3" t="s">
        <v>34</v>
      </c>
      <c r="L8" s="5"/>
      <c r="M8"/>
    </row>
    <row r="9" spans="1:13" s="8" customFormat="1" hidden="1">
      <c r="A9" s="17" t="s">
        <v>28</v>
      </c>
      <c r="B9" s="3">
        <v>6</v>
      </c>
      <c r="C9" s="4" t="s">
        <v>148</v>
      </c>
      <c r="D9" s="56">
        <v>16102052</v>
      </c>
      <c r="E9" s="4" t="s">
        <v>151</v>
      </c>
      <c r="F9" s="65">
        <v>8479</v>
      </c>
      <c r="G9" s="4" t="s">
        <v>147</v>
      </c>
      <c r="H9" s="10"/>
      <c r="I9" s="3" t="s">
        <v>74</v>
      </c>
      <c r="J9" s="1">
        <v>44960</v>
      </c>
      <c r="K9" s="3" t="s">
        <v>34</v>
      </c>
      <c r="L9" s="5"/>
      <c r="M9"/>
    </row>
    <row r="10" spans="1:13" s="8" customFormat="1" hidden="1">
      <c r="A10" s="17" t="s">
        <v>28</v>
      </c>
      <c r="B10" s="3">
        <v>7</v>
      </c>
      <c r="C10" s="4" t="s">
        <v>148</v>
      </c>
      <c r="D10" s="56">
        <v>16102053</v>
      </c>
      <c r="E10" s="4"/>
      <c r="F10" s="65">
        <v>8655</v>
      </c>
      <c r="G10" s="4" t="s">
        <v>152</v>
      </c>
      <c r="H10" s="10"/>
      <c r="I10" s="3" t="s">
        <v>79</v>
      </c>
      <c r="J10" s="1">
        <v>44994</v>
      </c>
      <c r="K10" s="3" t="s">
        <v>34</v>
      </c>
      <c r="L10" s="5"/>
      <c r="M10"/>
    </row>
    <row r="11" spans="1:13" s="8" customFormat="1" hidden="1">
      <c r="A11" s="17" t="s">
        <v>28</v>
      </c>
      <c r="B11" s="3">
        <v>8</v>
      </c>
      <c r="C11" s="4" t="s">
        <v>148</v>
      </c>
      <c r="D11" s="56">
        <v>16102054</v>
      </c>
      <c r="E11" s="4"/>
      <c r="F11" s="65">
        <v>8690</v>
      </c>
      <c r="G11" s="4" t="s">
        <v>153</v>
      </c>
      <c r="H11" s="10"/>
      <c r="I11" s="3" t="s">
        <v>79</v>
      </c>
      <c r="J11" s="1">
        <v>44994</v>
      </c>
      <c r="K11" s="3" t="s">
        <v>34</v>
      </c>
      <c r="L11" s="5"/>
      <c r="M11"/>
    </row>
    <row r="12" spans="1:13" s="8" customFormat="1" hidden="1">
      <c r="A12" s="17" t="s">
        <v>28</v>
      </c>
      <c r="B12" s="3">
        <v>9</v>
      </c>
      <c r="C12" s="4" t="s">
        <v>148</v>
      </c>
      <c r="D12" s="56">
        <v>16102055</v>
      </c>
      <c r="E12" s="4"/>
      <c r="F12" s="65">
        <v>8693</v>
      </c>
      <c r="G12" s="4" t="s">
        <v>154</v>
      </c>
      <c r="H12" s="10"/>
      <c r="I12" s="3" t="s">
        <v>74</v>
      </c>
      <c r="J12" s="1">
        <v>44994</v>
      </c>
      <c r="K12" s="3" t="s">
        <v>34</v>
      </c>
      <c r="L12" s="5"/>
      <c r="M12"/>
    </row>
    <row r="13" spans="1:13" s="8" customFormat="1" hidden="1">
      <c r="A13" s="17" t="s">
        <v>28</v>
      </c>
      <c r="B13" s="3">
        <v>10</v>
      </c>
      <c r="C13" s="4" t="s">
        <v>148</v>
      </c>
      <c r="D13" s="56">
        <v>16102056</v>
      </c>
      <c r="E13" s="4"/>
      <c r="F13" s="65">
        <v>8749</v>
      </c>
      <c r="G13" s="4" t="s">
        <v>154</v>
      </c>
      <c r="H13" s="10"/>
      <c r="I13" s="3" t="s">
        <v>79</v>
      </c>
      <c r="J13" s="1">
        <v>44994</v>
      </c>
      <c r="K13" s="3" t="s">
        <v>34</v>
      </c>
      <c r="L13" s="5"/>
      <c r="M13"/>
    </row>
    <row r="14" spans="1:13" s="8" customFormat="1" hidden="1">
      <c r="A14" s="17" t="s">
        <v>28</v>
      </c>
      <c r="B14" s="3">
        <v>11</v>
      </c>
      <c r="C14" s="4" t="s">
        <v>148</v>
      </c>
      <c r="D14" s="56">
        <v>16102057</v>
      </c>
      <c r="E14" s="4"/>
      <c r="F14" s="65">
        <v>8945</v>
      </c>
      <c r="G14" s="4" t="s">
        <v>152</v>
      </c>
      <c r="H14" s="10"/>
      <c r="I14" s="3" t="s">
        <v>80</v>
      </c>
      <c r="J14" s="1">
        <v>45023</v>
      </c>
      <c r="K14" s="3" t="s">
        <v>34</v>
      </c>
      <c r="L14" s="5"/>
      <c r="M14"/>
    </row>
    <row r="15" spans="1:13" s="8" customFormat="1" hidden="1">
      <c r="A15" s="17" t="s">
        <v>28</v>
      </c>
      <c r="B15" s="3">
        <v>12</v>
      </c>
      <c r="C15" s="4" t="s">
        <v>148</v>
      </c>
      <c r="D15" s="56">
        <v>16102058</v>
      </c>
      <c r="E15" s="4"/>
      <c r="F15" s="65">
        <v>9337</v>
      </c>
      <c r="G15" s="4" t="s">
        <v>152</v>
      </c>
      <c r="H15" s="10"/>
      <c r="I15" s="3" t="s">
        <v>82</v>
      </c>
      <c r="J15" s="1">
        <v>45044</v>
      </c>
      <c r="K15" s="3" t="s">
        <v>34</v>
      </c>
      <c r="L15" s="5"/>
      <c r="M15"/>
    </row>
    <row r="16" spans="1:13" s="8" customFormat="1" hidden="1">
      <c r="A16" s="17" t="s">
        <v>28</v>
      </c>
      <c r="B16" s="3">
        <v>13</v>
      </c>
      <c r="C16" s="4" t="s">
        <v>148</v>
      </c>
      <c r="D16" s="56">
        <v>16102059</v>
      </c>
      <c r="E16" s="4"/>
      <c r="F16" s="65">
        <v>9549</v>
      </c>
      <c r="G16" s="4" t="s">
        <v>152</v>
      </c>
      <c r="H16" s="10"/>
      <c r="I16" s="3" t="s">
        <v>42</v>
      </c>
      <c r="J16" s="1">
        <v>45078</v>
      </c>
      <c r="K16" s="3" t="s">
        <v>34</v>
      </c>
      <c r="L16" s="5"/>
      <c r="M16"/>
    </row>
    <row r="17" spans="1:13" s="8" customFormat="1" hidden="1">
      <c r="A17" s="17" t="s">
        <v>28</v>
      </c>
      <c r="B17" s="3">
        <v>14</v>
      </c>
      <c r="C17" s="4" t="s">
        <v>148</v>
      </c>
      <c r="D17" s="56">
        <v>16102060</v>
      </c>
      <c r="E17" s="4"/>
      <c r="F17" s="65">
        <v>9704</v>
      </c>
      <c r="G17" s="4" t="s">
        <v>155</v>
      </c>
      <c r="H17" s="10"/>
      <c r="I17" s="3" t="s">
        <v>156</v>
      </c>
      <c r="J17" s="1">
        <v>45090</v>
      </c>
      <c r="K17" s="3" t="s">
        <v>34</v>
      </c>
      <c r="L17" s="5"/>
      <c r="M17"/>
    </row>
    <row r="18" spans="1:13" s="8" customFormat="1" hidden="1">
      <c r="A18" s="17" t="s">
        <v>28</v>
      </c>
      <c r="B18" s="3">
        <v>15</v>
      </c>
      <c r="C18" s="4" t="s">
        <v>148</v>
      </c>
      <c r="D18" s="56">
        <v>16102061</v>
      </c>
      <c r="E18" s="4"/>
      <c r="F18" s="65">
        <v>9792</v>
      </c>
      <c r="G18" s="4" t="s">
        <v>152</v>
      </c>
      <c r="H18" s="10"/>
      <c r="I18" s="3" t="s">
        <v>56</v>
      </c>
      <c r="J18" s="1">
        <v>45103</v>
      </c>
      <c r="K18" s="3" t="s">
        <v>34</v>
      </c>
      <c r="L18" s="5"/>
      <c r="M18"/>
    </row>
    <row r="19" spans="1:13" s="8" customFormat="1" hidden="1">
      <c r="A19" s="17" t="s">
        <v>28</v>
      </c>
      <c r="B19" s="3">
        <v>16</v>
      </c>
      <c r="C19" s="4" t="s">
        <v>148</v>
      </c>
      <c r="D19" s="56">
        <v>16102062</v>
      </c>
      <c r="E19" s="4"/>
      <c r="F19" s="65">
        <v>9732</v>
      </c>
      <c r="G19" s="4" t="s">
        <v>155</v>
      </c>
      <c r="H19" s="10"/>
      <c r="I19" s="3" t="s">
        <v>56</v>
      </c>
      <c r="J19" s="1">
        <v>45103</v>
      </c>
      <c r="K19" s="3" t="s">
        <v>34</v>
      </c>
      <c r="L19" s="5"/>
      <c r="M19"/>
    </row>
    <row r="20" spans="1:13" s="8" customFormat="1" hidden="1">
      <c r="A20" s="17" t="s">
        <v>28</v>
      </c>
      <c r="B20" s="3">
        <v>17</v>
      </c>
      <c r="C20" s="4" t="s">
        <v>148</v>
      </c>
      <c r="D20" s="56">
        <v>16102063</v>
      </c>
      <c r="E20" s="4"/>
      <c r="F20" s="65">
        <v>10141</v>
      </c>
      <c r="G20" s="4" t="s">
        <v>155</v>
      </c>
      <c r="H20" s="10"/>
      <c r="I20" s="3" t="s">
        <v>84</v>
      </c>
      <c r="J20" s="1">
        <v>45128</v>
      </c>
      <c r="K20" s="3" t="s">
        <v>34</v>
      </c>
      <c r="L20" s="5"/>
      <c r="M20"/>
    </row>
    <row r="21" spans="1:13" s="8" customFormat="1" hidden="1">
      <c r="A21" s="17" t="s">
        <v>28</v>
      </c>
      <c r="B21" s="3">
        <v>18</v>
      </c>
      <c r="C21" s="4" t="s">
        <v>148</v>
      </c>
      <c r="D21" s="56">
        <v>16102064</v>
      </c>
      <c r="E21" s="4"/>
      <c r="F21" s="65">
        <v>10150</v>
      </c>
      <c r="G21" s="4" t="s">
        <v>152</v>
      </c>
      <c r="H21" s="10"/>
      <c r="I21" s="3" t="s">
        <v>84</v>
      </c>
      <c r="J21" s="1">
        <v>45128</v>
      </c>
      <c r="K21" s="3" t="s">
        <v>34</v>
      </c>
      <c r="L21" s="5"/>
      <c r="M21"/>
    </row>
    <row r="22" spans="1:13" s="8" customFormat="1" hidden="1">
      <c r="A22" s="17" t="s">
        <v>28</v>
      </c>
      <c r="B22" s="3">
        <v>19</v>
      </c>
      <c r="C22" s="4" t="s">
        <v>148</v>
      </c>
      <c r="D22" s="56">
        <v>16102065</v>
      </c>
      <c r="E22" s="4"/>
      <c r="F22" s="65">
        <v>10343</v>
      </c>
      <c r="G22" s="4" t="s">
        <v>152</v>
      </c>
      <c r="H22" s="10"/>
      <c r="I22" s="3" t="s">
        <v>85</v>
      </c>
      <c r="J22" s="1">
        <v>45148</v>
      </c>
      <c r="K22" s="3" t="s">
        <v>34</v>
      </c>
      <c r="L22" s="5"/>
      <c r="M22"/>
    </row>
    <row r="23" spans="1:13" s="8" customFormat="1" hidden="1">
      <c r="A23" s="17" t="s">
        <v>28</v>
      </c>
      <c r="B23" s="3">
        <v>20</v>
      </c>
      <c r="C23" s="4" t="s">
        <v>148</v>
      </c>
      <c r="D23" s="56">
        <v>16102066</v>
      </c>
      <c r="E23" s="4"/>
      <c r="F23" s="65">
        <v>10351</v>
      </c>
      <c r="G23" s="4" t="s">
        <v>155</v>
      </c>
      <c r="H23" s="10"/>
      <c r="I23" s="3" t="s">
        <v>85</v>
      </c>
      <c r="J23" s="1">
        <v>45148</v>
      </c>
      <c r="K23" s="3" t="s">
        <v>34</v>
      </c>
      <c r="L23" s="5"/>
      <c r="M23"/>
    </row>
    <row r="24" spans="1:13" s="8" customFormat="1" hidden="1">
      <c r="A24" s="17" t="s">
        <v>28</v>
      </c>
      <c r="B24" s="3">
        <v>21</v>
      </c>
      <c r="C24" s="4" t="s">
        <v>148</v>
      </c>
      <c r="D24" s="56">
        <v>16102067</v>
      </c>
      <c r="E24" s="4"/>
      <c r="F24" s="65">
        <v>10471</v>
      </c>
      <c r="G24" s="4" t="s">
        <v>473</v>
      </c>
      <c r="H24" s="10"/>
      <c r="I24" s="3" t="s">
        <v>85</v>
      </c>
      <c r="J24" s="1">
        <v>45174</v>
      </c>
      <c r="K24" s="3" t="s">
        <v>34</v>
      </c>
      <c r="L24" s="5"/>
      <c r="M24"/>
    </row>
    <row r="25" spans="1:13" s="8" customFormat="1" hidden="1">
      <c r="A25" s="17" t="s">
        <v>28</v>
      </c>
      <c r="B25" s="3">
        <v>22</v>
      </c>
      <c r="C25" s="4" t="s">
        <v>148</v>
      </c>
      <c r="D25" s="56">
        <v>16102068</v>
      </c>
      <c r="E25" s="4"/>
      <c r="F25" s="65">
        <v>10662</v>
      </c>
      <c r="G25" s="4" t="s">
        <v>473</v>
      </c>
      <c r="H25" s="10"/>
      <c r="I25" s="3" t="s">
        <v>47</v>
      </c>
      <c r="J25" s="1">
        <v>45198</v>
      </c>
      <c r="K25" s="3" t="s">
        <v>477</v>
      </c>
      <c r="L25" s="5"/>
      <c r="M25"/>
    </row>
    <row r="26" spans="1:13" s="8" customFormat="1" hidden="1">
      <c r="A26" s="17" t="s">
        <v>28</v>
      </c>
      <c r="B26" s="3">
        <v>23</v>
      </c>
      <c r="C26" s="4" t="s">
        <v>148</v>
      </c>
      <c r="D26" s="56">
        <v>16102069</v>
      </c>
      <c r="E26" s="4"/>
      <c r="F26" s="65">
        <v>10661</v>
      </c>
      <c r="G26" s="4" t="s">
        <v>155</v>
      </c>
      <c r="H26" s="10"/>
      <c r="I26" s="3" t="s">
        <v>47</v>
      </c>
      <c r="J26" s="1">
        <v>45198</v>
      </c>
      <c r="K26" s="3" t="s">
        <v>477</v>
      </c>
      <c r="L26" s="5"/>
      <c r="M26"/>
    </row>
    <row r="27" spans="1:13" s="8" customFormat="1" hidden="1">
      <c r="A27" s="17" t="s">
        <v>28</v>
      </c>
      <c r="B27" s="3">
        <v>24</v>
      </c>
      <c r="C27" s="4" t="s">
        <v>148</v>
      </c>
      <c r="D27" s="56">
        <v>16102070</v>
      </c>
      <c r="E27" s="4"/>
      <c r="F27" s="65">
        <v>10653</v>
      </c>
      <c r="G27" s="4" t="s">
        <v>152</v>
      </c>
      <c r="H27" s="10"/>
      <c r="I27" s="3" t="s">
        <v>47</v>
      </c>
      <c r="J27" s="1">
        <v>45198</v>
      </c>
      <c r="K27" s="3" t="s">
        <v>477</v>
      </c>
      <c r="L27" s="5"/>
      <c r="M27"/>
    </row>
    <row r="28" spans="1:13" s="8" customFormat="1" hidden="1">
      <c r="A28" s="17" t="s">
        <v>28</v>
      </c>
      <c r="B28" s="3">
        <v>25</v>
      </c>
      <c r="C28" s="4" t="s">
        <v>148</v>
      </c>
      <c r="D28" s="56">
        <v>16102071</v>
      </c>
      <c r="E28" s="4"/>
      <c r="F28" s="65">
        <v>11016</v>
      </c>
      <c r="G28" s="4" t="s">
        <v>473</v>
      </c>
      <c r="H28" s="10"/>
      <c r="I28" s="3" t="s">
        <v>48</v>
      </c>
      <c r="J28" s="1">
        <v>45225</v>
      </c>
      <c r="K28" s="3" t="s">
        <v>477</v>
      </c>
      <c r="L28" s="5"/>
      <c r="M28"/>
    </row>
    <row r="29" spans="1:13" s="8" customFormat="1" hidden="1">
      <c r="A29" s="17" t="s">
        <v>28</v>
      </c>
      <c r="B29" s="3">
        <v>26</v>
      </c>
      <c r="C29" s="4" t="s">
        <v>148</v>
      </c>
      <c r="D29" s="56">
        <v>16102072</v>
      </c>
      <c r="E29" s="4"/>
      <c r="F29" s="65">
        <v>11015</v>
      </c>
      <c r="G29" s="4" t="s">
        <v>155</v>
      </c>
      <c r="H29" s="10"/>
      <c r="I29" s="3" t="s">
        <v>48</v>
      </c>
      <c r="J29" s="1">
        <v>45225</v>
      </c>
      <c r="K29" s="3" t="s">
        <v>477</v>
      </c>
      <c r="L29" s="5"/>
      <c r="M29"/>
    </row>
    <row r="30" spans="1:13" s="8" customFormat="1" hidden="1">
      <c r="A30" s="17" t="s">
        <v>28</v>
      </c>
      <c r="B30" s="3">
        <v>27</v>
      </c>
      <c r="C30" s="4" t="s">
        <v>148</v>
      </c>
      <c r="D30" s="56">
        <v>16102073</v>
      </c>
      <c r="E30" s="4"/>
      <c r="F30" s="65">
        <v>11012</v>
      </c>
      <c r="G30" s="4" t="s">
        <v>152</v>
      </c>
      <c r="H30" s="10"/>
      <c r="I30" s="3" t="s">
        <v>48</v>
      </c>
      <c r="J30" s="1">
        <v>45225</v>
      </c>
      <c r="K30" s="3" t="s">
        <v>477</v>
      </c>
      <c r="L30" s="5"/>
      <c r="M30"/>
    </row>
    <row r="31" spans="1:13" s="8" customFormat="1" hidden="1">
      <c r="A31" s="17" t="s">
        <v>28</v>
      </c>
      <c r="B31" s="3">
        <v>28</v>
      </c>
      <c r="C31" s="4" t="s">
        <v>148</v>
      </c>
      <c r="D31" s="56">
        <v>16102074</v>
      </c>
      <c r="E31" s="4"/>
      <c r="F31" s="65">
        <v>11240</v>
      </c>
      <c r="G31" s="4" t="s">
        <v>152</v>
      </c>
      <c r="H31" s="10"/>
      <c r="I31" s="3" t="s">
        <v>49</v>
      </c>
      <c r="J31" s="1">
        <v>45250</v>
      </c>
      <c r="K31" s="3" t="s">
        <v>477</v>
      </c>
      <c r="L31" s="5"/>
      <c r="M31"/>
    </row>
    <row r="32" spans="1:13" s="8" customFormat="1" hidden="1">
      <c r="A32" s="17" t="s">
        <v>28</v>
      </c>
      <c r="B32" s="3">
        <v>29</v>
      </c>
      <c r="C32" s="4" t="s">
        <v>148</v>
      </c>
      <c r="D32" s="56">
        <v>16102075</v>
      </c>
      <c r="E32" s="4"/>
      <c r="F32" s="65">
        <v>11233</v>
      </c>
      <c r="G32" s="4" t="s">
        <v>473</v>
      </c>
      <c r="H32" s="10"/>
      <c r="I32" s="3" t="s">
        <v>49</v>
      </c>
      <c r="J32" s="1">
        <v>45250</v>
      </c>
      <c r="K32" s="3" t="s">
        <v>477</v>
      </c>
      <c r="L32" s="5"/>
      <c r="M32"/>
    </row>
    <row r="33" spans="1:13" s="8" customFormat="1" hidden="1">
      <c r="A33" s="17" t="s">
        <v>28</v>
      </c>
      <c r="B33" s="3">
        <v>30</v>
      </c>
      <c r="C33" s="4" t="s">
        <v>148</v>
      </c>
      <c r="D33" s="56">
        <v>16102076</v>
      </c>
      <c r="E33" s="4"/>
      <c r="F33" s="65">
        <v>11180</v>
      </c>
      <c r="G33" s="4" t="s">
        <v>155</v>
      </c>
      <c r="H33" s="10"/>
      <c r="I33" s="3" t="s">
        <v>49</v>
      </c>
      <c r="J33" s="1">
        <v>45250</v>
      </c>
      <c r="K33" s="3" t="s">
        <v>477</v>
      </c>
      <c r="L33" s="5"/>
      <c r="M33"/>
    </row>
    <row r="34" spans="1:13" s="8" customFormat="1" hidden="1">
      <c r="A34" s="17" t="s">
        <v>28</v>
      </c>
      <c r="B34" s="3">
        <v>31</v>
      </c>
      <c r="C34" s="4" t="s">
        <v>148</v>
      </c>
      <c r="D34" s="56">
        <v>16102077</v>
      </c>
      <c r="E34" s="4"/>
      <c r="F34" s="65">
        <v>11307</v>
      </c>
      <c r="G34" s="4" t="s">
        <v>487</v>
      </c>
      <c r="H34" s="10"/>
      <c r="I34" s="3" t="s">
        <v>49</v>
      </c>
      <c r="J34" s="1">
        <v>45250</v>
      </c>
      <c r="K34" s="3" t="s">
        <v>477</v>
      </c>
      <c r="L34" s="5"/>
      <c r="M34"/>
    </row>
    <row r="35" spans="1:13" s="8" customFormat="1" hidden="1">
      <c r="A35" s="17" t="s">
        <v>28</v>
      </c>
      <c r="B35" s="3">
        <v>32</v>
      </c>
      <c r="C35" s="4" t="s">
        <v>139</v>
      </c>
      <c r="D35" s="56">
        <v>16102078</v>
      </c>
      <c r="E35" s="4"/>
      <c r="F35" s="65">
        <v>11356</v>
      </c>
      <c r="G35" s="4" t="s">
        <v>491</v>
      </c>
      <c r="H35" s="10"/>
      <c r="I35" s="3" t="s">
        <v>49</v>
      </c>
      <c r="J35" s="1">
        <v>45257</v>
      </c>
      <c r="K35" s="3" t="s">
        <v>490</v>
      </c>
      <c r="L35" s="5"/>
      <c r="M35"/>
    </row>
    <row r="36" spans="1:13" s="8" customFormat="1" hidden="1">
      <c r="A36" s="17" t="s">
        <v>28</v>
      </c>
      <c r="B36" s="3">
        <v>33</v>
      </c>
      <c r="C36" s="4" t="s">
        <v>139</v>
      </c>
      <c r="D36" s="56">
        <v>16102079</v>
      </c>
      <c r="E36" s="4"/>
      <c r="F36" s="65" t="s">
        <v>494</v>
      </c>
      <c r="G36" s="4" t="s">
        <v>492</v>
      </c>
      <c r="H36" s="10"/>
      <c r="I36" s="3" t="s">
        <v>493</v>
      </c>
      <c r="J36" s="144">
        <v>45264</v>
      </c>
      <c r="K36" s="3" t="s">
        <v>490</v>
      </c>
      <c r="L36" s="5"/>
      <c r="M36"/>
    </row>
    <row r="37" spans="1:13" hidden="1">
      <c r="A37" s="3"/>
      <c r="B37" s="3">
        <v>34</v>
      </c>
      <c r="C37" s="4" t="s">
        <v>139</v>
      </c>
      <c r="D37" s="56">
        <v>16102080</v>
      </c>
      <c r="E37" s="4"/>
      <c r="F37" s="65">
        <v>11615</v>
      </c>
      <c r="G37" s="4" t="s">
        <v>152</v>
      </c>
      <c r="H37" s="10"/>
      <c r="I37" s="3" t="s">
        <v>505</v>
      </c>
      <c r="J37" s="144">
        <v>45279</v>
      </c>
      <c r="K37" s="3" t="s">
        <v>490</v>
      </c>
      <c r="L37" s="4"/>
    </row>
    <row r="38" spans="1:13" ht="18.600000000000001" thickTop="1">
      <c r="A38" s="3"/>
      <c r="B38" s="3">
        <v>35</v>
      </c>
      <c r="C38" s="4" t="s">
        <v>139</v>
      </c>
      <c r="D38" s="56">
        <v>16102081</v>
      </c>
      <c r="E38" s="4"/>
      <c r="F38" s="65" t="s">
        <v>506</v>
      </c>
      <c r="G38" s="4" t="s">
        <v>492</v>
      </c>
      <c r="H38" s="10"/>
      <c r="I38" s="3" t="s">
        <v>505</v>
      </c>
      <c r="J38" s="144">
        <v>45279</v>
      </c>
      <c r="K38" s="3" t="s">
        <v>490</v>
      </c>
      <c r="L38" s="4"/>
    </row>
    <row r="39" spans="1:13">
      <c r="A39" s="3"/>
      <c r="B39" s="3">
        <v>36</v>
      </c>
      <c r="C39" s="4" t="s">
        <v>139</v>
      </c>
      <c r="D39" s="56">
        <v>16102082</v>
      </c>
      <c r="E39" s="4"/>
      <c r="F39" s="65">
        <v>11759</v>
      </c>
      <c r="G39" s="4" t="s">
        <v>152</v>
      </c>
      <c r="H39" s="10"/>
      <c r="I39" s="3" t="s">
        <v>74</v>
      </c>
      <c r="J39" s="144">
        <v>45310</v>
      </c>
      <c r="K39" s="3" t="s">
        <v>490</v>
      </c>
      <c r="L39" s="4"/>
    </row>
    <row r="40" spans="1:13">
      <c r="A40" s="3"/>
      <c r="B40" s="3">
        <v>37</v>
      </c>
      <c r="C40" s="4" t="s">
        <v>139</v>
      </c>
      <c r="D40" s="56">
        <v>16102083</v>
      </c>
      <c r="E40" s="4"/>
      <c r="F40" s="65">
        <v>11764</v>
      </c>
      <c r="G40" s="4" t="s">
        <v>473</v>
      </c>
      <c r="H40" s="10"/>
      <c r="I40" s="3" t="s">
        <v>74</v>
      </c>
      <c r="J40" s="144">
        <v>45310</v>
      </c>
      <c r="K40" s="3" t="s">
        <v>490</v>
      </c>
      <c r="L40" s="4"/>
    </row>
    <row r="41" spans="1:13">
      <c r="A41" s="3"/>
      <c r="B41" s="3">
        <v>38</v>
      </c>
      <c r="C41" s="4" t="s">
        <v>139</v>
      </c>
      <c r="D41" s="56">
        <v>16102084</v>
      </c>
      <c r="E41" s="4"/>
      <c r="F41" s="65">
        <v>11794</v>
      </c>
      <c r="G41" s="4" t="s">
        <v>492</v>
      </c>
      <c r="H41" s="10"/>
      <c r="I41" s="3" t="s">
        <v>74</v>
      </c>
      <c r="J41" s="144">
        <v>45310</v>
      </c>
      <c r="K41" s="3" t="s">
        <v>490</v>
      </c>
      <c r="L41" s="4"/>
    </row>
    <row r="42" spans="1:13">
      <c r="A42" s="3"/>
      <c r="B42" s="3">
        <v>39</v>
      </c>
      <c r="C42" s="4" t="s">
        <v>139</v>
      </c>
      <c r="D42" s="56">
        <v>16102085</v>
      </c>
      <c r="E42" s="4"/>
      <c r="F42" s="65">
        <v>11866</v>
      </c>
      <c r="G42" s="4" t="s">
        <v>487</v>
      </c>
      <c r="H42" s="10"/>
      <c r="I42" s="3" t="s">
        <v>74</v>
      </c>
      <c r="J42" s="144">
        <v>45310</v>
      </c>
      <c r="K42" s="3" t="s">
        <v>490</v>
      </c>
      <c r="L42" s="4"/>
    </row>
    <row r="43" spans="1:13">
      <c r="A43" s="3"/>
      <c r="B43" s="3">
        <v>40</v>
      </c>
      <c r="C43" s="4" t="s">
        <v>139</v>
      </c>
      <c r="D43" s="56">
        <v>16102086</v>
      </c>
      <c r="E43" s="4"/>
      <c r="F43" s="65">
        <v>11880</v>
      </c>
      <c r="G43" s="4" t="s">
        <v>155</v>
      </c>
      <c r="H43" s="10"/>
      <c r="I43" s="3" t="s">
        <v>74</v>
      </c>
      <c r="J43" s="144">
        <v>45310</v>
      </c>
      <c r="K43" s="3" t="s">
        <v>490</v>
      </c>
      <c r="L43" s="4"/>
    </row>
    <row r="44" spans="1:13">
      <c r="A44" s="3"/>
      <c r="B44" s="3">
        <v>41</v>
      </c>
      <c r="C44" s="4" t="s">
        <v>139</v>
      </c>
      <c r="D44" s="56">
        <v>16102087</v>
      </c>
      <c r="E44" s="4"/>
      <c r="F44" s="65">
        <v>12052</v>
      </c>
      <c r="G44" s="4" t="s">
        <v>152</v>
      </c>
      <c r="H44" s="10"/>
      <c r="I44" s="3" t="s">
        <v>217</v>
      </c>
      <c r="J44" s="1">
        <v>45337</v>
      </c>
      <c r="K44" s="3" t="s">
        <v>490</v>
      </c>
      <c r="L44" s="4"/>
    </row>
    <row r="45" spans="1:13">
      <c r="A45" s="3"/>
      <c r="B45" s="3">
        <v>42</v>
      </c>
      <c r="C45" s="4" t="s">
        <v>139</v>
      </c>
      <c r="D45" s="56">
        <v>16102088</v>
      </c>
      <c r="E45" s="4"/>
      <c r="F45" s="65">
        <v>12090</v>
      </c>
      <c r="G45" s="4" t="s">
        <v>492</v>
      </c>
      <c r="H45" s="10"/>
      <c r="I45" s="3" t="s">
        <v>217</v>
      </c>
      <c r="J45" s="1">
        <v>45337</v>
      </c>
      <c r="K45" s="3" t="s">
        <v>490</v>
      </c>
      <c r="L45" s="4"/>
    </row>
    <row r="46" spans="1:13">
      <c r="A46" s="150"/>
      <c r="B46" s="150">
        <v>43</v>
      </c>
      <c r="C46" s="4" t="s">
        <v>139</v>
      </c>
      <c r="D46" s="152">
        <v>16102089</v>
      </c>
      <c r="E46" s="151"/>
      <c r="F46" s="153">
        <v>12061</v>
      </c>
      <c r="G46" s="4" t="s">
        <v>155</v>
      </c>
      <c r="H46" s="154"/>
      <c r="I46" s="3" t="s">
        <v>217</v>
      </c>
      <c r="J46" s="1">
        <v>45337</v>
      </c>
      <c r="K46" s="3" t="s">
        <v>490</v>
      </c>
      <c r="L46" s="4"/>
    </row>
    <row r="47" spans="1:13">
      <c r="A47" s="3"/>
      <c r="B47" s="3">
        <v>44</v>
      </c>
      <c r="C47" s="4" t="s">
        <v>139</v>
      </c>
      <c r="D47" s="56">
        <v>16102090</v>
      </c>
      <c r="E47" s="4"/>
      <c r="F47" s="65">
        <v>12130</v>
      </c>
      <c r="G47" s="4" t="s">
        <v>487</v>
      </c>
      <c r="H47" s="10"/>
      <c r="I47" s="3" t="s">
        <v>217</v>
      </c>
      <c r="J47" s="1">
        <v>45337</v>
      </c>
      <c r="K47" s="3" t="s">
        <v>490</v>
      </c>
      <c r="L47" s="4"/>
    </row>
    <row r="48" spans="1:13">
      <c r="A48" s="3"/>
      <c r="B48" s="3">
        <v>45</v>
      </c>
      <c r="C48" s="4" t="s">
        <v>139</v>
      </c>
      <c r="D48" s="56">
        <v>16102091</v>
      </c>
      <c r="E48" s="4"/>
      <c r="F48" s="65">
        <v>12046</v>
      </c>
      <c r="G48" s="4" t="s">
        <v>473</v>
      </c>
      <c r="H48" s="10"/>
      <c r="I48" s="3" t="s">
        <v>79</v>
      </c>
      <c r="J48" s="144">
        <v>45345</v>
      </c>
      <c r="K48" s="3" t="s">
        <v>490</v>
      </c>
      <c r="L48" s="4"/>
    </row>
    <row r="49" spans="1:12">
      <c r="A49" s="3"/>
      <c r="B49" s="3">
        <v>46</v>
      </c>
      <c r="C49" s="4" t="s">
        <v>546</v>
      </c>
      <c r="D49" s="56">
        <v>16102092</v>
      </c>
      <c r="E49" s="4"/>
      <c r="F49" s="65" t="s">
        <v>547</v>
      </c>
      <c r="G49" s="4" t="s">
        <v>548</v>
      </c>
      <c r="H49" s="10"/>
      <c r="I49" s="3" t="s">
        <v>535</v>
      </c>
      <c r="J49" s="144">
        <v>45377</v>
      </c>
      <c r="K49" s="3" t="s">
        <v>490</v>
      </c>
      <c r="L49" s="4"/>
    </row>
    <row r="50" spans="1:12">
      <c r="A50" s="3"/>
      <c r="B50" s="3">
        <v>47</v>
      </c>
      <c r="C50" s="4" t="s">
        <v>139</v>
      </c>
      <c r="D50" s="56">
        <v>16102093</v>
      </c>
      <c r="E50" s="4"/>
      <c r="F50" s="65" t="s">
        <v>549</v>
      </c>
      <c r="G50" s="4" t="s">
        <v>152</v>
      </c>
      <c r="H50" s="10"/>
      <c r="I50" s="3" t="s">
        <v>535</v>
      </c>
      <c r="J50" s="144">
        <v>45377</v>
      </c>
      <c r="K50" s="3" t="s">
        <v>490</v>
      </c>
      <c r="L50" s="4"/>
    </row>
    <row r="51" spans="1:12">
      <c r="A51" s="3"/>
      <c r="B51" s="3">
        <v>48</v>
      </c>
      <c r="C51" s="4" t="s">
        <v>550</v>
      </c>
      <c r="D51" s="56">
        <v>16102094</v>
      </c>
      <c r="E51" s="4"/>
      <c r="F51" s="65" t="s">
        <v>551</v>
      </c>
      <c r="G51" s="4" t="s">
        <v>552</v>
      </c>
      <c r="H51" s="10"/>
      <c r="I51" s="3" t="s">
        <v>535</v>
      </c>
      <c r="J51" s="144">
        <v>45377</v>
      </c>
      <c r="K51" s="3" t="s">
        <v>490</v>
      </c>
      <c r="L51" s="4"/>
    </row>
    <row r="52" spans="1:12">
      <c r="A52" s="3"/>
      <c r="B52" s="3">
        <v>49</v>
      </c>
      <c r="C52" s="4" t="s">
        <v>139</v>
      </c>
      <c r="D52" s="56">
        <v>16102095</v>
      </c>
      <c r="E52" s="4"/>
      <c r="F52" s="65" t="s">
        <v>584</v>
      </c>
      <c r="G52" s="4" t="s">
        <v>152</v>
      </c>
      <c r="H52" s="10"/>
      <c r="I52" s="3" t="s">
        <v>572</v>
      </c>
      <c r="J52" s="144">
        <v>45401</v>
      </c>
      <c r="K52" s="3" t="s">
        <v>490</v>
      </c>
      <c r="L52" s="4"/>
    </row>
    <row r="53" spans="1:12">
      <c r="A53" s="3"/>
      <c r="B53" s="3">
        <v>50</v>
      </c>
      <c r="C53" s="4" t="s">
        <v>546</v>
      </c>
      <c r="D53" s="56">
        <v>16102096</v>
      </c>
      <c r="E53" s="4"/>
      <c r="F53" s="65" t="s">
        <v>585</v>
      </c>
      <c r="G53" s="4" t="s">
        <v>548</v>
      </c>
      <c r="H53" s="10"/>
      <c r="I53" s="3" t="s">
        <v>572</v>
      </c>
      <c r="J53" s="144">
        <v>45401</v>
      </c>
      <c r="K53" s="3" t="s">
        <v>490</v>
      </c>
      <c r="L53" s="4"/>
    </row>
    <row r="54" spans="1:12">
      <c r="A54" s="3"/>
      <c r="B54" s="3">
        <v>51</v>
      </c>
      <c r="C54" s="4" t="s">
        <v>550</v>
      </c>
      <c r="D54" s="56">
        <v>16102097</v>
      </c>
      <c r="E54" s="4"/>
      <c r="F54" s="65" t="s">
        <v>608</v>
      </c>
      <c r="G54" s="4" t="s">
        <v>552</v>
      </c>
      <c r="H54" s="10"/>
      <c r="I54" s="3" t="s">
        <v>54</v>
      </c>
      <c r="J54" s="144">
        <v>45433</v>
      </c>
      <c r="K54" s="3" t="s">
        <v>490</v>
      </c>
      <c r="L54" s="4"/>
    </row>
    <row r="55" spans="1:12">
      <c r="A55" s="3"/>
      <c r="B55" s="3">
        <v>52</v>
      </c>
      <c r="C55" s="4" t="s">
        <v>139</v>
      </c>
      <c r="D55" s="56">
        <v>16102098</v>
      </c>
      <c r="E55" s="4"/>
      <c r="F55" s="65" t="s">
        <v>609</v>
      </c>
      <c r="G55" s="4" t="s">
        <v>152</v>
      </c>
      <c r="H55" s="10"/>
      <c r="I55" s="3" t="s">
        <v>54</v>
      </c>
      <c r="J55" s="144">
        <v>45433</v>
      </c>
      <c r="K55" s="3" t="s">
        <v>490</v>
      </c>
      <c r="L55" s="4"/>
    </row>
    <row r="56" spans="1:12">
      <c r="A56" s="3"/>
      <c r="B56" s="3">
        <v>53</v>
      </c>
      <c r="C56" s="4" t="s">
        <v>546</v>
      </c>
      <c r="D56" s="56">
        <v>16102099</v>
      </c>
      <c r="E56" s="4"/>
      <c r="F56" s="65" t="s">
        <v>607</v>
      </c>
      <c r="G56" s="4" t="s">
        <v>548</v>
      </c>
      <c r="H56" s="10"/>
      <c r="I56" s="3" t="s">
        <v>54</v>
      </c>
      <c r="J56" s="144">
        <v>45433</v>
      </c>
      <c r="K56" s="3" t="s">
        <v>490</v>
      </c>
      <c r="L56" s="4"/>
    </row>
    <row r="57" spans="1:12">
      <c r="A57" s="3"/>
      <c r="B57" s="3">
        <v>54</v>
      </c>
      <c r="C57" s="4" t="s">
        <v>139</v>
      </c>
      <c r="D57" s="56">
        <v>16102100</v>
      </c>
      <c r="E57" s="4"/>
      <c r="F57" s="65">
        <v>13176</v>
      </c>
      <c r="G57" s="4" t="s">
        <v>152</v>
      </c>
      <c r="H57" s="10"/>
      <c r="I57" s="3" t="s">
        <v>56</v>
      </c>
      <c r="J57" s="1">
        <v>45467</v>
      </c>
      <c r="K57" s="3" t="s">
        <v>477</v>
      </c>
      <c r="L57" s="4"/>
    </row>
    <row r="58" spans="1:12">
      <c r="A58" s="3"/>
      <c r="B58" s="3">
        <v>55</v>
      </c>
      <c r="C58" s="4" t="s">
        <v>550</v>
      </c>
      <c r="D58" s="56">
        <v>16102101</v>
      </c>
      <c r="E58" s="4"/>
      <c r="F58" s="65">
        <v>13200</v>
      </c>
      <c r="G58" s="4" t="s">
        <v>552</v>
      </c>
      <c r="H58" s="10"/>
      <c r="I58" s="3" t="s">
        <v>56</v>
      </c>
      <c r="J58" s="1">
        <v>45467</v>
      </c>
      <c r="K58" s="3" t="s">
        <v>477</v>
      </c>
      <c r="L58" s="4"/>
    </row>
    <row r="59" spans="1:12">
      <c r="A59" s="3"/>
      <c r="B59" s="3">
        <v>56</v>
      </c>
      <c r="C59" s="4" t="s">
        <v>546</v>
      </c>
      <c r="D59" s="56">
        <v>16102102</v>
      </c>
      <c r="E59" s="4"/>
      <c r="F59" s="65">
        <v>13172</v>
      </c>
      <c r="G59" s="4" t="s">
        <v>548</v>
      </c>
      <c r="H59" s="10"/>
      <c r="I59" s="3" t="s">
        <v>56</v>
      </c>
      <c r="J59" s="1">
        <v>45467</v>
      </c>
      <c r="K59" s="3" t="s">
        <v>477</v>
      </c>
      <c r="L59" s="4"/>
    </row>
    <row r="60" spans="1:12">
      <c r="A60" s="3"/>
      <c r="B60" s="3">
        <v>57</v>
      </c>
      <c r="C60" s="4" t="s">
        <v>139</v>
      </c>
      <c r="D60" s="56">
        <v>16102103</v>
      </c>
      <c r="E60" s="4"/>
      <c r="F60" s="65">
        <v>13503</v>
      </c>
      <c r="G60" s="4" t="s">
        <v>152</v>
      </c>
      <c r="H60" s="10"/>
      <c r="I60" s="3" t="s">
        <v>84</v>
      </c>
      <c r="J60" s="12" t="s">
        <v>642</v>
      </c>
      <c r="K60" s="3" t="s">
        <v>477</v>
      </c>
      <c r="L60" s="4"/>
    </row>
    <row r="61" spans="1:12">
      <c r="A61" s="3"/>
      <c r="B61" s="3">
        <v>58</v>
      </c>
      <c r="C61" s="4" t="s">
        <v>546</v>
      </c>
      <c r="D61" s="56">
        <v>16102104</v>
      </c>
      <c r="E61" s="4"/>
      <c r="F61" s="65">
        <v>133515</v>
      </c>
      <c r="G61" s="4" t="s">
        <v>548</v>
      </c>
      <c r="H61" s="10"/>
      <c r="I61" s="3" t="s">
        <v>84</v>
      </c>
      <c r="J61" s="12" t="s">
        <v>642</v>
      </c>
      <c r="K61" s="3" t="s">
        <v>477</v>
      </c>
      <c r="L61" s="4"/>
    </row>
    <row r="62" spans="1:12">
      <c r="A62" s="3"/>
      <c r="B62" s="3">
        <v>59</v>
      </c>
      <c r="C62" s="4" t="s">
        <v>550</v>
      </c>
      <c r="D62" s="56">
        <v>16102105</v>
      </c>
      <c r="E62" s="4"/>
      <c r="F62" s="65">
        <v>13469</v>
      </c>
      <c r="G62" s="4" t="s">
        <v>552</v>
      </c>
      <c r="H62" s="10"/>
      <c r="I62" s="3" t="s">
        <v>84</v>
      </c>
      <c r="J62" s="12" t="s">
        <v>643</v>
      </c>
      <c r="K62" s="3" t="s">
        <v>477</v>
      </c>
      <c r="L62" s="4"/>
    </row>
    <row r="63" spans="1:12">
      <c r="A63" s="3"/>
      <c r="B63" s="3">
        <v>60</v>
      </c>
      <c r="C63" s="4" t="s">
        <v>546</v>
      </c>
      <c r="D63" s="56">
        <v>16102106</v>
      </c>
      <c r="E63" s="4"/>
      <c r="F63" s="65">
        <v>13735</v>
      </c>
      <c r="G63" s="4" t="s">
        <v>548</v>
      </c>
      <c r="H63" s="10"/>
      <c r="I63" s="3" t="s">
        <v>85</v>
      </c>
      <c r="J63" s="156" t="s">
        <v>649</v>
      </c>
      <c r="K63" s="150" t="s">
        <v>477</v>
      </c>
      <c r="L63" s="4"/>
    </row>
    <row r="64" spans="1:12">
      <c r="A64" s="3"/>
      <c r="B64" s="3">
        <v>61</v>
      </c>
      <c r="C64" s="4" t="s">
        <v>139</v>
      </c>
      <c r="D64" s="56">
        <v>16102107</v>
      </c>
      <c r="E64" s="4"/>
      <c r="F64" s="65">
        <v>13737</v>
      </c>
      <c r="G64" s="4" t="s">
        <v>152</v>
      </c>
      <c r="H64" s="10"/>
      <c r="I64" s="3" t="s">
        <v>85</v>
      </c>
      <c r="J64" s="156" t="s">
        <v>649</v>
      </c>
      <c r="K64" s="150" t="s">
        <v>477</v>
      </c>
      <c r="L64" s="4"/>
    </row>
    <row r="65" spans="1:12">
      <c r="A65" s="3"/>
      <c r="B65" s="3">
        <v>62</v>
      </c>
      <c r="C65" s="4" t="s">
        <v>550</v>
      </c>
      <c r="D65" s="56">
        <v>16102108</v>
      </c>
      <c r="E65" s="4"/>
      <c r="F65" s="65">
        <v>13734</v>
      </c>
      <c r="G65" s="4" t="s">
        <v>552</v>
      </c>
      <c r="H65" s="10"/>
      <c r="I65" s="3" t="s">
        <v>85</v>
      </c>
      <c r="J65" s="156" t="s">
        <v>649</v>
      </c>
      <c r="K65" s="150" t="s">
        <v>477</v>
      </c>
      <c r="L65" s="4"/>
    </row>
    <row r="66" spans="1:12">
      <c r="A66" s="3"/>
      <c r="B66" s="3">
        <v>63</v>
      </c>
      <c r="C66" s="4" t="s">
        <v>139</v>
      </c>
      <c r="D66" s="56">
        <v>16102109</v>
      </c>
      <c r="E66" s="4"/>
      <c r="F66" s="65">
        <v>13838</v>
      </c>
      <c r="G66" s="4" t="s">
        <v>654</v>
      </c>
      <c r="H66" s="10"/>
      <c r="I66" s="3" t="s">
        <v>85</v>
      </c>
      <c r="J66" s="162" t="s">
        <v>655</v>
      </c>
      <c r="K66" s="3" t="s">
        <v>653</v>
      </c>
      <c r="L66" s="4"/>
    </row>
    <row r="67" spans="1:12">
      <c r="A67" s="3"/>
      <c r="B67" s="3">
        <v>64</v>
      </c>
      <c r="C67" s="4" t="s">
        <v>139</v>
      </c>
      <c r="D67" s="56">
        <v>16102110</v>
      </c>
      <c r="E67" s="4"/>
      <c r="F67" s="65">
        <v>14018</v>
      </c>
      <c r="G67" s="4" t="s">
        <v>152</v>
      </c>
      <c r="H67" s="10"/>
      <c r="I67" s="3" t="s">
        <v>478</v>
      </c>
      <c r="J67" s="156" t="s">
        <v>660</v>
      </c>
      <c r="K67" s="150" t="s">
        <v>653</v>
      </c>
      <c r="L67" s="4"/>
    </row>
    <row r="68" spans="1:12">
      <c r="A68" s="3"/>
      <c r="B68" s="3">
        <v>65</v>
      </c>
      <c r="C68" s="4" t="s">
        <v>139</v>
      </c>
      <c r="D68" s="56">
        <v>16102111</v>
      </c>
      <c r="E68" s="4"/>
      <c r="F68" s="65">
        <v>14016</v>
      </c>
      <c r="G68" s="4" t="s">
        <v>552</v>
      </c>
      <c r="H68" s="10"/>
      <c r="I68" s="3" t="s">
        <v>478</v>
      </c>
      <c r="J68" s="156" t="s">
        <v>660</v>
      </c>
      <c r="K68" s="150" t="s">
        <v>653</v>
      </c>
      <c r="L68" s="4"/>
    </row>
    <row r="69" spans="1:12">
      <c r="A69" s="3"/>
      <c r="B69" s="3">
        <v>66</v>
      </c>
      <c r="C69" s="4" t="s">
        <v>546</v>
      </c>
      <c r="D69" s="56">
        <v>16102112</v>
      </c>
      <c r="E69" s="4"/>
      <c r="F69" s="65">
        <v>14015</v>
      </c>
      <c r="G69" s="4" t="s">
        <v>548</v>
      </c>
      <c r="H69" s="10"/>
      <c r="I69" s="3" t="s">
        <v>478</v>
      </c>
      <c r="J69" s="156" t="s">
        <v>660</v>
      </c>
      <c r="K69" s="150" t="s">
        <v>653</v>
      </c>
      <c r="L69" s="4"/>
    </row>
    <row r="70" spans="1:12">
      <c r="A70" s="150"/>
      <c r="B70" s="150">
        <v>67</v>
      </c>
      <c r="C70" s="151" t="s">
        <v>139</v>
      </c>
      <c r="D70" s="152">
        <v>16102113</v>
      </c>
      <c r="E70" s="151"/>
      <c r="F70" s="153">
        <v>13910</v>
      </c>
      <c r="G70" s="151" t="s">
        <v>654</v>
      </c>
      <c r="H70" s="154"/>
      <c r="I70" s="150" t="s">
        <v>478</v>
      </c>
      <c r="J70" s="156" t="s">
        <v>660</v>
      </c>
      <c r="K70" s="150" t="s">
        <v>653</v>
      </c>
      <c r="L70" s="151"/>
    </row>
    <row r="71" spans="1:12">
      <c r="A71" s="3"/>
      <c r="B71" s="3">
        <v>68</v>
      </c>
      <c r="C71" s="4" t="s">
        <v>546</v>
      </c>
      <c r="D71" s="56">
        <v>16102114</v>
      </c>
      <c r="E71" s="4"/>
      <c r="F71" s="65">
        <v>14294</v>
      </c>
      <c r="G71" s="4" t="s">
        <v>548</v>
      </c>
      <c r="H71" s="10"/>
      <c r="I71" s="3" t="s">
        <v>665</v>
      </c>
      <c r="J71" s="156" t="s">
        <v>666</v>
      </c>
      <c r="K71" s="150" t="s">
        <v>653</v>
      </c>
      <c r="L71" s="4"/>
    </row>
    <row r="72" spans="1:12">
      <c r="A72" s="3"/>
      <c r="B72" s="3">
        <v>69</v>
      </c>
      <c r="C72" s="4" t="s">
        <v>139</v>
      </c>
      <c r="D72" s="56">
        <v>16102115</v>
      </c>
      <c r="E72" s="4"/>
      <c r="F72" s="65">
        <v>14296</v>
      </c>
      <c r="G72" s="4" t="s">
        <v>152</v>
      </c>
      <c r="H72" s="10"/>
      <c r="I72" s="3" t="s">
        <v>665</v>
      </c>
      <c r="J72" s="156" t="s">
        <v>666</v>
      </c>
      <c r="K72" s="150" t="s">
        <v>653</v>
      </c>
      <c r="L72" s="4"/>
    </row>
    <row r="73" spans="1:12">
      <c r="A73" s="3"/>
      <c r="B73" s="3">
        <v>70</v>
      </c>
      <c r="C73" s="4" t="s">
        <v>139</v>
      </c>
      <c r="D73" s="56">
        <v>16102116</v>
      </c>
      <c r="E73" s="4"/>
      <c r="F73" s="65">
        <v>14334</v>
      </c>
      <c r="G73" s="4" t="s">
        <v>552</v>
      </c>
      <c r="H73" s="10"/>
      <c r="I73" s="3" t="s">
        <v>665</v>
      </c>
      <c r="J73" s="156" t="s">
        <v>666</v>
      </c>
      <c r="K73" s="150" t="s">
        <v>653</v>
      </c>
      <c r="L73" s="4"/>
    </row>
    <row r="74" spans="1:12">
      <c r="A74" s="3"/>
      <c r="B74" s="3">
        <v>71</v>
      </c>
      <c r="C74" s="4" t="s">
        <v>139</v>
      </c>
      <c r="D74" s="152">
        <v>16102117</v>
      </c>
      <c r="E74" s="4"/>
      <c r="F74" s="65">
        <v>14333</v>
      </c>
      <c r="G74" s="151" t="s">
        <v>654</v>
      </c>
      <c r="H74" s="154"/>
      <c r="I74" s="3" t="s">
        <v>665</v>
      </c>
      <c r="J74" s="156" t="s">
        <v>666</v>
      </c>
      <c r="K74" s="150" t="s">
        <v>653</v>
      </c>
      <c r="L74" s="4"/>
    </row>
    <row r="75" spans="1:12">
      <c r="A75" s="3"/>
      <c r="B75" s="3">
        <v>72</v>
      </c>
      <c r="C75" s="4" t="s">
        <v>139</v>
      </c>
      <c r="D75" s="56">
        <v>16102118</v>
      </c>
      <c r="E75" s="4"/>
      <c r="F75" s="65">
        <v>14539</v>
      </c>
      <c r="G75" s="4" t="s">
        <v>152</v>
      </c>
      <c r="H75" s="10"/>
      <c r="I75" s="3" t="s">
        <v>515</v>
      </c>
      <c r="J75" s="156" t="s">
        <v>673</v>
      </c>
      <c r="K75" s="150" t="s">
        <v>653</v>
      </c>
      <c r="L75" s="4"/>
    </row>
    <row r="76" spans="1:12">
      <c r="A76" s="3"/>
      <c r="B76" s="3">
        <v>73</v>
      </c>
      <c r="C76" s="4" t="s">
        <v>139</v>
      </c>
      <c r="D76" s="56">
        <v>16102119</v>
      </c>
      <c r="E76" s="4"/>
      <c r="F76" s="65">
        <v>14538</v>
      </c>
      <c r="G76" s="4" t="s">
        <v>552</v>
      </c>
      <c r="H76" s="10"/>
      <c r="I76" s="3" t="s">
        <v>515</v>
      </c>
      <c r="J76" s="156" t="s">
        <v>673</v>
      </c>
      <c r="K76" s="150" t="s">
        <v>653</v>
      </c>
      <c r="L76" s="4"/>
    </row>
    <row r="77" spans="1:12">
      <c r="A77" s="3"/>
      <c r="B77" s="3">
        <v>74</v>
      </c>
      <c r="C77" s="4" t="s">
        <v>139</v>
      </c>
      <c r="D77" s="56">
        <v>16102120</v>
      </c>
      <c r="E77" s="4"/>
      <c r="F77" s="65">
        <v>14522</v>
      </c>
      <c r="G77" s="4" t="s">
        <v>548</v>
      </c>
      <c r="H77" s="10"/>
      <c r="I77" s="3" t="s">
        <v>515</v>
      </c>
      <c r="J77" s="156" t="s">
        <v>673</v>
      </c>
      <c r="K77" s="150" t="s">
        <v>653</v>
      </c>
      <c r="L77" s="4"/>
    </row>
    <row r="78" spans="1:12">
      <c r="A78" s="3"/>
      <c r="B78" s="3">
        <v>75</v>
      </c>
      <c r="C78" s="4" t="s">
        <v>139</v>
      </c>
      <c r="D78" s="56">
        <v>16102121</v>
      </c>
      <c r="E78" s="4"/>
      <c r="F78" s="65">
        <v>14518</v>
      </c>
      <c r="G78" s="4" t="s">
        <v>654</v>
      </c>
      <c r="H78" s="10"/>
      <c r="I78" s="3" t="s">
        <v>515</v>
      </c>
      <c r="J78" s="12" t="s">
        <v>673</v>
      </c>
      <c r="K78" s="3" t="s">
        <v>653</v>
      </c>
      <c r="L78" s="4"/>
    </row>
    <row r="79" spans="1:12">
      <c r="A79" s="3"/>
      <c r="B79" s="3">
        <v>76</v>
      </c>
      <c r="C79" s="4" t="s">
        <v>139</v>
      </c>
      <c r="D79" s="56">
        <v>16102122</v>
      </c>
      <c r="E79" s="4"/>
      <c r="F79" s="65">
        <v>14794</v>
      </c>
      <c r="G79" s="4" t="s">
        <v>552</v>
      </c>
      <c r="H79" s="10"/>
      <c r="I79" s="3" t="s">
        <v>33</v>
      </c>
      <c r="J79" s="144">
        <v>45645</v>
      </c>
      <c r="K79" s="3" t="s">
        <v>653</v>
      </c>
      <c r="L79" s="4"/>
    </row>
    <row r="80" spans="1:12">
      <c r="A80" s="3"/>
      <c r="B80" s="3">
        <v>77</v>
      </c>
      <c r="C80" s="4" t="s">
        <v>139</v>
      </c>
      <c r="D80" s="56">
        <v>16102123</v>
      </c>
      <c r="E80" s="4"/>
      <c r="F80" s="65">
        <v>14739</v>
      </c>
      <c r="G80" s="4" t="s">
        <v>548</v>
      </c>
      <c r="H80" s="10"/>
      <c r="I80" s="3" t="s">
        <v>33</v>
      </c>
      <c r="J80" s="144">
        <v>45645</v>
      </c>
      <c r="K80" s="3" t="s">
        <v>653</v>
      </c>
      <c r="L80" s="4"/>
    </row>
    <row r="81" spans="1:12">
      <c r="A81" s="3"/>
      <c r="B81" s="3">
        <v>78</v>
      </c>
      <c r="C81" s="4" t="s">
        <v>139</v>
      </c>
      <c r="D81" s="56">
        <v>16102124</v>
      </c>
      <c r="E81" s="4"/>
      <c r="F81" s="65">
        <v>14792</v>
      </c>
      <c r="G81" s="4" t="s">
        <v>654</v>
      </c>
      <c r="H81" s="10"/>
      <c r="I81" s="3" t="s">
        <v>33</v>
      </c>
      <c r="J81" s="144">
        <v>45645</v>
      </c>
      <c r="K81" s="3" t="s">
        <v>653</v>
      </c>
      <c r="L81" s="4"/>
    </row>
    <row r="82" spans="1:12">
      <c r="A82" s="3"/>
      <c r="B82" s="3">
        <v>79</v>
      </c>
      <c r="C82" s="4" t="s">
        <v>139</v>
      </c>
      <c r="D82" s="56">
        <v>16102125</v>
      </c>
      <c r="E82" s="4"/>
      <c r="F82" s="65">
        <v>14821</v>
      </c>
      <c r="G82" s="4" t="s">
        <v>152</v>
      </c>
      <c r="H82" s="10"/>
      <c r="I82" s="3" t="s">
        <v>33</v>
      </c>
      <c r="J82" s="144">
        <v>45645</v>
      </c>
      <c r="K82" s="3" t="s">
        <v>653</v>
      </c>
      <c r="L82" s="4"/>
    </row>
    <row r="83" spans="1:12">
      <c r="A83" s="3"/>
      <c r="B83" s="3">
        <v>80</v>
      </c>
      <c r="C83" s="4" t="s">
        <v>139</v>
      </c>
      <c r="D83" s="56">
        <v>16102126</v>
      </c>
      <c r="E83" s="4"/>
      <c r="F83" s="65">
        <v>15111</v>
      </c>
      <c r="G83" s="4" t="s">
        <v>152</v>
      </c>
      <c r="H83" s="10"/>
      <c r="I83" s="3" t="s">
        <v>518</v>
      </c>
      <c r="J83" s="144" t="s">
        <v>692</v>
      </c>
      <c r="K83" s="3" t="s">
        <v>653</v>
      </c>
      <c r="L83" s="4"/>
    </row>
    <row r="84" spans="1:12">
      <c r="A84" s="3"/>
      <c r="B84" s="3">
        <v>81</v>
      </c>
      <c r="C84" s="4" t="s">
        <v>139</v>
      </c>
      <c r="D84" s="56">
        <v>16102127</v>
      </c>
      <c r="E84" s="4"/>
      <c r="F84" s="65">
        <v>15088</v>
      </c>
      <c r="G84" s="4" t="s">
        <v>548</v>
      </c>
      <c r="H84" s="10"/>
      <c r="I84" s="3" t="s">
        <v>518</v>
      </c>
      <c r="J84" s="144" t="s">
        <v>692</v>
      </c>
      <c r="K84" s="3" t="s">
        <v>653</v>
      </c>
      <c r="L84" s="4"/>
    </row>
    <row r="85" spans="1:12">
      <c r="B85" s="3">
        <v>82</v>
      </c>
      <c r="C85" s="4" t="s">
        <v>139</v>
      </c>
      <c r="D85" s="56">
        <v>16102128</v>
      </c>
      <c r="F85" s="65">
        <v>15087</v>
      </c>
      <c r="G85" s="4" t="s">
        <v>552</v>
      </c>
      <c r="H85" s="10"/>
      <c r="I85" s="3" t="s">
        <v>518</v>
      </c>
      <c r="J85" s="144" t="s">
        <v>692</v>
      </c>
      <c r="K85" s="3" t="s">
        <v>653</v>
      </c>
      <c r="L85" s="4"/>
    </row>
    <row r="86" spans="1:12">
      <c r="B86" s="3">
        <v>83</v>
      </c>
      <c r="C86" s="4" t="s">
        <v>139</v>
      </c>
      <c r="D86" s="56">
        <v>16102129</v>
      </c>
      <c r="F86" s="65">
        <v>15335</v>
      </c>
      <c r="G86" s="4" t="s">
        <v>152</v>
      </c>
      <c r="H86" s="10"/>
      <c r="I86" s="3" t="s">
        <v>217</v>
      </c>
      <c r="J86" s="144" t="s">
        <v>700</v>
      </c>
      <c r="K86" s="3" t="s">
        <v>653</v>
      </c>
      <c r="L86" s="4"/>
    </row>
    <row r="87" spans="1:12">
      <c r="B87" s="3">
        <v>84</v>
      </c>
      <c r="C87" s="4" t="s">
        <v>139</v>
      </c>
      <c r="D87" s="56">
        <v>16102130</v>
      </c>
      <c r="F87" s="65">
        <v>15239</v>
      </c>
      <c r="G87" s="4" t="s">
        <v>548</v>
      </c>
      <c r="H87" s="10"/>
      <c r="I87" s="3" t="s">
        <v>217</v>
      </c>
      <c r="J87" s="144" t="s">
        <v>700</v>
      </c>
      <c r="K87" s="3" t="s">
        <v>653</v>
      </c>
      <c r="L87" s="4"/>
    </row>
    <row r="88" spans="1:12">
      <c r="B88" s="150">
        <v>85</v>
      </c>
      <c r="C88" s="151" t="s">
        <v>139</v>
      </c>
      <c r="D88" s="152">
        <v>16102131</v>
      </c>
      <c r="F88" s="153">
        <v>15315</v>
      </c>
      <c r="G88" s="151" t="s">
        <v>552</v>
      </c>
      <c r="H88" s="154"/>
      <c r="I88" s="150" t="s">
        <v>217</v>
      </c>
      <c r="J88" s="167" t="s">
        <v>700</v>
      </c>
      <c r="K88" s="150" t="s">
        <v>653</v>
      </c>
      <c r="L88" s="4"/>
    </row>
    <row r="89" spans="1:12">
      <c r="B89" s="3">
        <v>86</v>
      </c>
      <c r="C89" s="151" t="s">
        <v>139</v>
      </c>
      <c r="D89" s="152">
        <v>16102132</v>
      </c>
      <c r="E89" s="4"/>
      <c r="F89" s="65" t="s">
        <v>721</v>
      </c>
      <c r="G89" s="4" t="s">
        <v>722</v>
      </c>
      <c r="H89" s="10"/>
      <c r="I89" s="3" t="s">
        <v>719</v>
      </c>
      <c r="J89" s="168">
        <v>45744</v>
      </c>
      <c r="K89" s="3" t="s">
        <v>720</v>
      </c>
      <c r="L89" s="4"/>
    </row>
    <row r="90" spans="1:12">
      <c r="B90" s="3">
        <v>87</v>
      </c>
      <c r="C90" s="151" t="s">
        <v>139</v>
      </c>
      <c r="D90" s="152">
        <v>16102133</v>
      </c>
      <c r="E90" s="4"/>
      <c r="F90" s="65" t="s">
        <v>724</v>
      </c>
      <c r="G90" s="4" t="s">
        <v>723</v>
      </c>
      <c r="H90" s="10"/>
      <c r="I90" s="3" t="s">
        <v>719</v>
      </c>
      <c r="J90" s="168">
        <v>45744</v>
      </c>
      <c r="K90" s="3" t="s">
        <v>720</v>
      </c>
      <c r="L90" s="4"/>
    </row>
    <row r="91" spans="1:12">
      <c r="B91" s="3">
        <v>88</v>
      </c>
      <c r="C91" s="151" t="s">
        <v>139</v>
      </c>
      <c r="D91" s="152">
        <v>16102134</v>
      </c>
      <c r="E91" s="4"/>
      <c r="F91" s="65" t="s">
        <v>726</v>
      </c>
      <c r="G91" s="4" t="s">
        <v>725</v>
      </c>
      <c r="H91" s="10"/>
      <c r="I91" s="3" t="s">
        <v>719</v>
      </c>
      <c r="J91" s="168">
        <v>45744</v>
      </c>
      <c r="K91" s="3" t="s">
        <v>720</v>
      </c>
      <c r="L91" s="4"/>
    </row>
    <row r="92" spans="1:12">
      <c r="B92" s="3">
        <v>89</v>
      </c>
      <c r="C92" s="151" t="s">
        <v>139</v>
      </c>
      <c r="D92" s="152">
        <v>16102135</v>
      </c>
      <c r="E92" s="4"/>
      <c r="F92" s="65" t="s">
        <v>731</v>
      </c>
      <c r="G92" s="4" t="s">
        <v>152</v>
      </c>
      <c r="H92" s="10"/>
      <c r="I92" s="3" t="s">
        <v>719</v>
      </c>
      <c r="J92" s="168">
        <v>45744</v>
      </c>
      <c r="K92" s="3" t="s">
        <v>720</v>
      </c>
      <c r="L92" s="4"/>
    </row>
    <row r="93" spans="1:12">
      <c r="B93" s="3">
        <v>90</v>
      </c>
      <c r="C93" s="4" t="s">
        <v>732</v>
      </c>
      <c r="D93" s="152">
        <v>16102136</v>
      </c>
      <c r="E93" s="4"/>
      <c r="F93" s="65" t="s">
        <v>733</v>
      </c>
      <c r="G93" s="4" t="s">
        <v>734</v>
      </c>
      <c r="H93" s="10"/>
      <c r="I93" s="3" t="s">
        <v>719</v>
      </c>
      <c r="J93" s="168">
        <v>45744</v>
      </c>
      <c r="K93" s="3" t="s">
        <v>720</v>
      </c>
      <c r="L93" s="4"/>
    </row>
    <row r="94" spans="1:12">
      <c r="B94" s="3">
        <v>91</v>
      </c>
      <c r="C94" s="151" t="s">
        <v>139</v>
      </c>
      <c r="D94" s="152">
        <v>16102137</v>
      </c>
      <c r="E94" s="4"/>
      <c r="F94" s="65" t="s">
        <v>721</v>
      </c>
      <c r="G94" s="4" t="s">
        <v>722</v>
      </c>
      <c r="H94" s="10"/>
      <c r="I94" s="3" t="s">
        <v>80</v>
      </c>
      <c r="J94" s="168">
        <v>45762</v>
      </c>
      <c r="K94" s="3" t="s">
        <v>710</v>
      </c>
      <c r="L94" s="4" t="s">
        <v>751</v>
      </c>
    </row>
    <row r="95" spans="1:12">
      <c r="B95" s="3">
        <v>92</v>
      </c>
      <c r="C95" s="151" t="s">
        <v>139</v>
      </c>
      <c r="D95" s="152">
        <v>16102138</v>
      </c>
      <c r="E95" s="4"/>
      <c r="F95" s="65" t="s">
        <v>724</v>
      </c>
      <c r="G95" s="4" t="s">
        <v>723</v>
      </c>
      <c r="H95" s="10"/>
      <c r="I95" s="3" t="s">
        <v>80</v>
      </c>
      <c r="J95" s="168">
        <v>45762</v>
      </c>
      <c r="K95" s="3" t="s">
        <v>710</v>
      </c>
      <c r="L95" s="4" t="s">
        <v>751</v>
      </c>
    </row>
    <row r="96" spans="1:12">
      <c r="B96" s="150">
        <v>93</v>
      </c>
      <c r="C96" s="151" t="s">
        <v>139</v>
      </c>
      <c r="D96" s="152">
        <v>16102139</v>
      </c>
      <c r="E96" s="151"/>
      <c r="F96" s="65" t="s">
        <v>726</v>
      </c>
      <c r="G96" s="4" t="s">
        <v>725</v>
      </c>
      <c r="H96" s="154"/>
      <c r="I96" s="3" t="s">
        <v>80</v>
      </c>
      <c r="J96" s="168">
        <v>45762</v>
      </c>
      <c r="K96" s="3" t="s">
        <v>710</v>
      </c>
      <c r="L96" s="151" t="s">
        <v>751</v>
      </c>
    </row>
    <row r="97" spans="2:12">
      <c r="B97" s="150">
        <v>94</v>
      </c>
      <c r="C97" s="151" t="s">
        <v>139</v>
      </c>
      <c r="D97" s="152">
        <v>16102140</v>
      </c>
      <c r="E97" s="4"/>
      <c r="F97" s="65" t="s">
        <v>731</v>
      </c>
      <c r="G97" s="4" t="s">
        <v>152</v>
      </c>
      <c r="H97" s="10"/>
      <c r="I97" s="3" t="s">
        <v>80</v>
      </c>
      <c r="J97" s="168">
        <v>45762</v>
      </c>
      <c r="K97" s="3" t="s">
        <v>710</v>
      </c>
      <c r="L97" s="4" t="s">
        <v>751</v>
      </c>
    </row>
    <row r="98" spans="2:12">
      <c r="B98" s="150">
        <v>95</v>
      </c>
      <c r="C98" s="4" t="s">
        <v>732</v>
      </c>
      <c r="D98" s="152">
        <v>16102141</v>
      </c>
      <c r="E98" s="4"/>
      <c r="F98" s="65" t="s">
        <v>733</v>
      </c>
      <c r="G98" s="4" t="s">
        <v>734</v>
      </c>
      <c r="H98" s="10"/>
      <c r="I98" s="3" t="s">
        <v>80</v>
      </c>
      <c r="J98" s="168">
        <v>45762</v>
      </c>
      <c r="K98" s="3" t="s">
        <v>710</v>
      </c>
      <c r="L98" s="4" t="s">
        <v>751</v>
      </c>
    </row>
    <row r="99" spans="2:12">
      <c r="B99" s="150">
        <v>96</v>
      </c>
      <c r="C99" s="151" t="s">
        <v>139</v>
      </c>
      <c r="D99" s="152">
        <v>16102142</v>
      </c>
      <c r="E99" s="4"/>
      <c r="F99" s="65" t="s">
        <v>770</v>
      </c>
      <c r="G99" s="4" t="s">
        <v>152</v>
      </c>
      <c r="H99" s="10"/>
      <c r="I99" s="3" t="s">
        <v>758</v>
      </c>
      <c r="J99" s="168">
        <v>45784</v>
      </c>
      <c r="K99" s="3" t="s">
        <v>710</v>
      </c>
      <c r="L99" s="4"/>
    </row>
    <row r="100" spans="2:12">
      <c r="B100" s="150">
        <v>97</v>
      </c>
      <c r="C100" s="151" t="s">
        <v>139</v>
      </c>
      <c r="D100" s="152">
        <v>16102143</v>
      </c>
      <c r="E100" s="4"/>
      <c r="F100" s="65" t="s">
        <v>771</v>
      </c>
      <c r="G100" s="4" t="s">
        <v>725</v>
      </c>
      <c r="H100" s="10"/>
      <c r="I100" s="3" t="s">
        <v>758</v>
      </c>
      <c r="J100" s="168">
        <v>45784</v>
      </c>
      <c r="K100" s="3" t="s">
        <v>710</v>
      </c>
      <c r="L100" s="4"/>
    </row>
    <row r="101" spans="2:12">
      <c r="B101" s="150">
        <v>98</v>
      </c>
      <c r="C101" s="4" t="s">
        <v>732</v>
      </c>
      <c r="D101" s="152">
        <v>16102144</v>
      </c>
      <c r="E101" s="4"/>
      <c r="F101" s="65" t="s">
        <v>772</v>
      </c>
      <c r="G101" s="4" t="s">
        <v>734</v>
      </c>
      <c r="H101" s="10"/>
      <c r="I101" s="3" t="s">
        <v>758</v>
      </c>
      <c r="J101" s="168">
        <v>45784</v>
      </c>
      <c r="K101" s="3" t="s">
        <v>710</v>
      </c>
      <c r="L101" s="4"/>
    </row>
    <row r="102" spans="2:12">
      <c r="B102" s="150">
        <v>99</v>
      </c>
      <c r="C102" s="4" t="s">
        <v>732</v>
      </c>
      <c r="D102" s="152">
        <v>16102145</v>
      </c>
      <c r="E102" s="4"/>
      <c r="F102" s="65">
        <v>16134</v>
      </c>
      <c r="G102" s="4" t="s">
        <v>734</v>
      </c>
      <c r="H102" s="10"/>
      <c r="I102" s="3" t="s">
        <v>791</v>
      </c>
      <c r="J102" s="168">
        <v>45805</v>
      </c>
      <c r="K102" s="3" t="s">
        <v>710</v>
      </c>
      <c r="L102" s="4"/>
    </row>
    <row r="103" spans="2:12">
      <c r="B103" s="150">
        <v>100</v>
      </c>
      <c r="C103" s="151" t="s">
        <v>139</v>
      </c>
      <c r="D103" s="152">
        <v>16102146</v>
      </c>
      <c r="E103" s="4"/>
      <c r="F103" s="65">
        <v>16135</v>
      </c>
      <c r="G103" s="4" t="s">
        <v>725</v>
      </c>
      <c r="H103" s="10"/>
      <c r="I103" s="3" t="s">
        <v>791</v>
      </c>
      <c r="J103" s="168">
        <v>45805</v>
      </c>
      <c r="K103" s="3" t="s">
        <v>710</v>
      </c>
      <c r="L103" s="4"/>
    </row>
    <row r="104" spans="2:12">
      <c r="B104" s="150">
        <v>101</v>
      </c>
      <c r="C104" s="151" t="s">
        <v>139</v>
      </c>
      <c r="D104" s="152">
        <v>16102147</v>
      </c>
      <c r="E104" s="4"/>
      <c r="F104" s="65">
        <v>16139</v>
      </c>
      <c r="G104" s="4" t="s">
        <v>152</v>
      </c>
      <c r="H104" s="10"/>
      <c r="I104" s="3" t="s">
        <v>791</v>
      </c>
      <c r="J104" s="168">
        <v>45805</v>
      </c>
      <c r="K104" s="3" t="s">
        <v>710</v>
      </c>
      <c r="L104" s="4"/>
    </row>
    <row r="105" spans="2:12">
      <c r="B105" s="150">
        <v>102</v>
      </c>
      <c r="C105" s="4" t="s">
        <v>732</v>
      </c>
      <c r="D105" s="152">
        <v>16102148</v>
      </c>
      <c r="E105" s="4"/>
      <c r="F105" s="65">
        <v>16474</v>
      </c>
      <c r="G105" s="4" t="s">
        <v>734</v>
      </c>
      <c r="H105" s="10"/>
      <c r="I105" s="3" t="s">
        <v>635</v>
      </c>
      <c r="J105" s="168">
        <v>45835</v>
      </c>
      <c r="K105" s="3" t="s">
        <v>653</v>
      </c>
      <c r="L105" s="4"/>
    </row>
    <row r="106" spans="2:12">
      <c r="B106" s="150">
        <v>103</v>
      </c>
      <c r="C106" s="151" t="s">
        <v>139</v>
      </c>
      <c r="D106" s="152">
        <v>16102149</v>
      </c>
      <c r="E106" s="4"/>
      <c r="F106" s="65">
        <v>16430</v>
      </c>
      <c r="G106" s="4" t="s">
        <v>152</v>
      </c>
      <c r="H106" s="10"/>
      <c r="I106" s="3" t="s">
        <v>635</v>
      </c>
      <c r="J106" s="168">
        <v>45835</v>
      </c>
      <c r="K106" s="3" t="s">
        <v>653</v>
      </c>
      <c r="L106" s="4"/>
    </row>
    <row r="107" spans="2:12">
      <c r="B107" s="150">
        <v>104</v>
      </c>
      <c r="C107" s="151" t="s">
        <v>139</v>
      </c>
      <c r="D107" s="152">
        <v>16102150</v>
      </c>
      <c r="E107" s="4"/>
      <c r="F107" s="65">
        <v>16501</v>
      </c>
      <c r="G107" s="4" t="s">
        <v>725</v>
      </c>
      <c r="H107" s="10"/>
      <c r="I107" s="3" t="s">
        <v>635</v>
      </c>
      <c r="J107" s="168">
        <v>45835</v>
      </c>
      <c r="K107" s="3" t="s">
        <v>653</v>
      </c>
      <c r="L107" s="4"/>
    </row>
    <row r="108" spans="2:12">
      <c r="B108" s="3">
        <v>105</v>
      </c>
      <c r="C108" s="4" t="s">
        <v>139</v>
      </c>
      <c r="D108" s="56">
        <v>16102151</v>
      </c>
      <c r="E108" s="4"/>
      <c r="F108" s="65">
        <v>16633</v>
      </c>
      <c r="G108" s="4" t="s">
        <v>799</v>
      </c>
      <c r="H108" s="10"/>
      <c r="I108" s="3" t="s">
        <v>635</v>
      </c>
      <c r="J108" s="168">
        <v>45847</v>
      </c>
      <c r="K108" s="3" t="s">
        <v>653</v>
      </c>
      <c r="L108" s="4"/>
    </row>
    <row r="109" spans="2:12">
      <c r="B109" s="3">
        <v>106</v>
      </c>
      <c r="C109" s="4" t="s">
        <v>732</v>
      </c>
      <c r="D109" s="56">
        <v>16102152</v>
      </c>
      <c r="E109" s="4"/>
      <c r="F109" s="65">
        <v>16665</v>
      </c>
      <c r="G109" s="4" t="s">
        <v>734</v>
      </c>
      <c r="H109" s="10"/>
      <c r="I109" s="3" t="s">
        <v>640</v>
      </c>
      <c r="J109" s="168">
        <v>45855</v>
      </c>
      <c r="K109" s="3" t="s">
        <v>653</v>
      </c>
      <c r="L109" s="4"/>
    </row>
    <row r="110" spans="2:12">
      <c r="B110" s="3">
        <v>107</v>
      </c>
      <c r="C110" s="151" t="s">
        <v>139</v>
      </c>
      <c r="D110" s="56">
        <v>16102153</v>
      </c>
      <c r="E110" s="4"/>
      <c r="F110" s="65">
        <v>16712</v>
      </c>
      <c r="G110" s="4" t="s">
        <v>152</v>
      </c>
      <c r="H110" s="10"/>
      <c r="I110" s="3" t="s">
        <v>640</v>
      </c>
      <c r="J110" s="168">
        <v>45855</v>
      </c>
      <c r="K110" s="3" t="s">
        <v>653</v>
      </c>
      <c r="L110" s="4"/>
    </row>
    <row r="111" spans="2:12">
      <c r="B111" s="3">
        <v>108</v>
      </c>
      <c r="C111" s="151" t="s">
        <v>139</v>
      </c>
      <c r="D111" s="56">
        <v>16102154</v>
      </c>
      <c r="E111" s="4"/>
      <c r="F111" s="65">
        <v>16720</v>
      </c>
      <c r="G111" s="4" t="s">
        <v>725</v>
      </c>
      <c r="H111" s="10"/>
      <c r="I111" s="3" t="s">
        <v>640</v>
      </c>
      <c r="J111" s="168">
        <v>45855</v>
      </c>
      <c r="K111" s="3" t="s">
        <v>653</v>
      </c>
      <c r="L111" s="4"/>
    </row>
    <row r="112" spans="2:12">
      <c r="B112" s="3">
        <v>109</v>
      </c>
      <c r="C112" s="4" t="s">
        <v>139</v>
      </c>
      <c r="D112" s="56">
        <v>16102155</v>
      </c>
      <c r="E112" s="4"/>
      <c r="F112" s="65">
        <v>16716</v>
      </c>
      <c r="G112" s="4" t="s">
        <v>799</v>
      </c>
      <c r="H112" s="10"/>
      <c r="I112" s="3" t="s">
        <v>640</v>
      </c>
      <c r="J112" s="168">
        <v>45855</v>
      </c>
      <c r="K112" s="3" t="s">
        <v>653</v>
      </c>
      <c r="L112" s="4"/>
    </row>
    <row r="113" spans="2:12">
      <c r="B113" s="3">
        <v>110</v>
      </c>
      <c r="C113" s="4" t="s">
        <v>732</v>
      </c>
      <c r="D113" s="56">
        <v>16102156</v>
      </c>
      <c r="E113" s="4"/>
      <c r="F113" s="65">
        <v>16960</v>
      </c>
      <c r="G113" s="4" t="s">
        <v>734</v>
      </c>
      <c r="H113" s="10"/>
      <c r="I113" s="3" t="s">
        <v>85</v>
      </c>
      <c r="J113" s="168">
        <v>45889</v>
      </c>
      <c r="K113" s="3" t="s">
        <v>653</v>
      </c>
      <c r="L113" s="4"/>
    </row>
    <row r="114" spans="2:12">
      <c r="B114" s="3">
        <v>111</v>
      </c>
      <c r="C114" s="4" t="s">
        <v>139</v>
      </c>
      <c r="D114" s="56">
        <v>16102157</v>
      </c>
      <c r="E114" s="4"/>
      <c r="F114" s="65">
        <v>17032</v>
      </c>
      <c r="G114" s="4" t="s">
        <v>799</v>
      </c>
      <c r="H114" s="10"/>
      <c r="I114" s="3" t="s">
        <v>85</v>
      </c>
      <c r="J114" s="168">
        <v>45889</v>
      </c>
      <c r="K114" s="3" t="s">
        <v>653</v>
      </c>
      <c r="L114" s="4"/>
    </row>
    <row r="115" spans="2:12">
      <c r="B115" s="3">
        <v>112</v>
      </c>
      <c r="C115" s="4" t="s">
        <v>139</v>
      </c>
      <c r="D115" s="56">
        <v>16102158</v>
      </c>
      <c r="E115" s="4"/>
      <c r="F115" s="65">
        <v>17018</v>
      </c>
      <c r="G115" s="4" t="s">
        <v>152</v>
      </c>
      <c r="H115" s="10"/>
      <c r="I115" s="3" t="s">
        <v>85</v>
      </c>
      <c r="J115" s="168">
        <v>45889</v>
      </c>
      <c r="K115" s="3" t="s">
        <v>653</v>
      </c>
      <c r="L115" s="4"/>
    </row>
    <row r="116" spans="2:12">
      <c r="B116" s="3">
        <v>113</v>
      </c>
      <c r="C116" s="4" t="s">
        <v>139</v>
      </c>
      <c r="D116" s="56">
        <v>16102159</v>
      </c>
      <c r="E116" s="4"/>
      <c r="F116" s="65">
        <v>17086</v>
      </c>
      <c r="G116" s="4" t="s">
        <v>725</v>
      </c>
      <c r="H116" s="10"/>
      <c r="I116" s="3" t="s">
        <v>85</v>
      </c>
      <c r="J116" s="168">
        <v>45894</v>
      </c>
      <c r="K116" s="3" t="s">
        <v>653</v>
      </c>
      <c r="L116" s="4"/>
    </row>
    <row r="117" spans="2:12">
      <c r="B117" s="3">
        <v>114</v>
      </c>
      <c r="C117" s="4" t="s">
        <v>732</v>
      </c>
      <c r="D117" s="56">
        <v>16102160</v>
      </c>
      <c r="E117" s="4"/>
      <c r="F117" s="65">
        <v>17322</v>
      </c>
      <c r="G117" s="4" t="s">
        <v>734</v>
      </c>
      <c r="H117" s="10"/>
      <c r="I117" s="3" t="s">
        <v>481</v>
      </c>
      <c r="J117" s="168">
        <v>45916</v>
      </c>
      <c r="K117" s="3" t="s">
        <v>653</v>
      </c>
      <c r="L117" s="4"/>
    </row>
    <row r="118" spans="2:12">
      <c r="B118" s="3">
        <v>115</v>
      </c>
      <c r="C118" s="4" t="s">
        <v>139</v>
      </c>
      <c r="D118" s="56">
        <v>16102161</v>
      </c>
      <c r="E118" s="4"/>
      <c r="F118" s="65">
        <v>17327</v>
      </c>
      <c r="G118" s="4" t="s">
        <v>799</v>
      </c>
      <c r="H118" s="10"/>
      <c r="I118" s="3" t="s">
        <v>481</v>
      </c>
      <c r="J118" s="168">
        <v>45916</v>
      </c>
      <c r="K118" s="3" t="s">
        <v>653</v>
      </c>
      <c r="L118" s="4"/>
    </row>
    <row r="119" spans="2:12">
      <c r="B119" s="3">
        <v>116</v>
      </c>
      <c r="C119" s="4" t="s">
        <v>139</v>
      </c>
      <c r="D119" s="56">
        <v>16102162</v>
      </c>
      <c r="E119" s="4"/>
      <c r="F119" s="65">
        <v>17270</v>
      </c>
      <c r="G119" s="4" t="s">
        <v>152</v>
      </c>
      <c r="H119" s="10"/>
      <c r="I119" s="3" t="s">
        <v>481</v>
      </c>
      <c r="J119" s="168">
        <v>45916</v>
      </c>
      <c r="K119" s="3" t="s">
        <v>653</v>
      </c>
      <c r="L119" s="4"/>
    </row>
    <row r="120" spans="2:12">
      <c r="B120" s="3">
        <v>117</v>
      </c>
      <c r="C120" s="4" t="s">
        <v>139</v>
      </c>
      <c r="D120" s="56">
        <v>16102163</v>
      </c>
      <c r="E120" s="4"/>
      <c r="F120" s="65">
        <v>17328</v>
      </c>
      <c r="G120" s="4" t="s">
        <v>725</v>
      </c>
      <c r="H120" s="10"/>
      <c r="I120" s="3" t="s">
        <v>481</v>
      </c>
      <c r="J120" s="168">
        <v>45916</v>
      </c>
      <c r="K120" s="3" t="s">
        <v>653</v>
      </c>
      <c r="L120" s="4"/>
    </row>
    <row r="121" spans="2:12">
      <c r="B121" s="3">
        <v>118</v>
      </c>
      <c r="C121" s="4" t="s">
        <v>139</v>
      </c>
      <c r="D121" s="56">
        <v>16102164</v>
      </c>
      <c r="E121" s="4"/>
      <c r="F121" s="65">
        <v>17328</v>
      </c>
      <c r="G121" s="4" t="s">
        <v>725</v>
      </c>
      <c r="H121" s="10"/>
      <c r="I121" s="3" t="s">
        <v>481</v>
      </c>
      <c r="J121" s="168">
        <v>45951</v>
      </c>
      <c r="K121" s="3" t="s">
        <v>653</v>
      </c>
      <c r="L121" s="176" t="s">
        <v>840</v>
      </c>
    </row>
    <row r="122" spans="2:12">
      <c r="B122" s="3">
        <v>119</v>
      </c>
      <c r="C122" s="4" t="s">
        <v>732</v>
      </c>
      <c r="D122" s="56">
        <v>16102165</v>
      </c>
      <c r="E122" s="4"/>
      <c r="F122" s="65">
        <v>17634</v>
      </c>
      <c r="G122" s="4" t="s">
        <v>734</v>
      </c>
      <c r="H122" s="10"/>
      <c r="I122" s="3" t="s">
        <v>844</v>
      </c>
      <c r="J122" s="168">
        <v>45952</v>
      </c>
      <c r="K122" s="3" t="s">
        <v>653</v>
      </c>
      <c r="L122" s="176"/>
    </row>
    <row r="123" spans="2:12">
      <c r="B123" s="149">
        <v>120</v>
      </c>
      <c r="C123" s="4" t="s">
        <v>139</v>
      </c>
      <c r="D123" s="56">
        <v>16102166</v>
      </c>
      <c r="E123" s="4"/>
      <c r="F123" s="65">
        <v>17643</v>
      </c>
      <c r="G123" s="4" t="s">
        <v>799</v>
      </c>
      <c r="H123" s="10"/>
      <c r="I123" s="3" t="s">
        <v>844</v>
      </c>
      <c r="J123" s="168">
        <v>45952</v>
      </c>
      <c r="K123" s="3" t="s">
        <v>653</v>
      </c>
    </row>
    <row r="124" spans="2:12">
      <c r="B124" s="150">
        <v>121</v>
      </c>
      <c r="C124" s="4" t="s">
        <v>139</v>
      </c>
      <c r="D124" s="56">
        <v>16102167</v>
      </c>
      <c r="E124" s="4"/>
      <c r="F124" s="65">
        <v>17637</v>
      </c>
      <c r="G124" s="4" t="s">
        <v>152</v>
      </c>
      <c r="H124" s="10"/>
      <c r="I124" s="3" t="s">
        <v>844</v>
      </c>
      <c r="J124" s="168">
        <v>45952</v>
      </c>
      <c r="K124" s="3" t="s">
        <v>653</v>
      </c>
    </row>
    <row r="125" spans="2:12">
      <c r="B125" s="150">
        <v>122</v>
      </c>
      <c r="C125" s="4" t="s">
        <v>139</v>
      </c>
      <c r="D125" s="56">
        <v>16102168</v>
      </c>
      <c r="E125" s="4"/>
      <c r="F125" s="65">
        <v>17644</v>
      </c>
      <c r="G125" s="4" t="s">
        <v>725</v>
      </c>
      <c r="H125" s="10"/>
      <c r="I125" s="3" t="s">
        <v>844</v>
      </c>
      <c r="J125" s="168">
        <v>45952</v>
      </c>
      <c r="K125" s="3" t="s">
        <v>653</v>
      </c>
    </row>
    <row r="126" spans="2:12">
      <c r="B126" s="150">
        <v>123</v>
      </c>
      <c r="C126" s="4" t="s">
        <v>139</v>
      </c>
      <c r="D126" s="56">
        <v>16102169</v>
      </c>
      <c r="E126" s="4"/>
      <c r="F126" s="65">
        <v>17850</v>
      </c>
      <c r="G126" s="4" t="s">
        <v>734</v>
      </c>
      <c r="H126" s="10"/>
      <c r="I126" s="3" t="s">
        <v>857</v>
      </c>
      <c r="J126" s="168">
        <v>45975</v>
      </c>
      <c r="K126" s="3" t="s">
        <v>653</v>
      </c>
    </row>
    <row r="127" spans="2:12">
      <c r="B127" s="150">
        <v>124</v>
      </c>
      <c r="C127" s="4" t="s">
        <v>139</v>
      </c>
      <c r="D127" s="56">
        <v>16102170</v>
      </c>
      <c r="E127" s="4"/>
      <c r="F127" s="65">
        <v>17819</v>
      </c>
      <c r="G127" s="4" t="s">
        <v>152</v>
      </c>
      <c r="H127" s="10"/>
      <c r="I127" s="3" t="s">
        <v>857</v>
      </c>
      <c r="J127" s="168">
        <v>45975</v>
      </c>
      <c r="K127" s="3" t="s">
        <v>653</v>
      </c>
    </row>
    <row r="128" spans="2:12">
      <c r="B128" s="150">
        <v>125</v>
      </c>
      <c r="C128" s="4" t="s">
        <v>139</v>
      </c>
      <c r="D128" s="56">
        <v>16102171</v>
      </c>
      <c r="E128" s="4"/>
      <c r="F128" s="65">
        <v>17912</v>
      </c>
      <c r="G128" s="4" t="s">
        <v>799</v>
      </c>
      <c r="H128" s="10"/>
      <c r="I128" s="3" t="s">
        <v>515</v>
      </c>
      <c r="J128" s="168">
        <v>45978</v>
      </c>
      <c r="K128" s="3" t="s">
        <v>653</v>
      </c>
    </row>
    <row r="129" spans="2:12">
      <c r="B129" s="150">
        <v>126</v>
      </c>
      <c r="C129" s="4" t="s">
        <v>139</v>
      </c>
      <c r="D129" s="56">
        <v>16102172</v>
      </c>
      <c r="E129" s="4"/>
      <c r="F129" s="65">
        <v>17908</v>
      </c>
      <c r="G129" s="4" t="s">
        <v>725</v>
      </c>
      <c r="H129" s="10"/>
      <c r="I129" s="3" t="s">
        <v>515</v>
      </c>
      <c r="J129" s="168">
        <v>45978</v>
      </c>
      <c r="K129" s="3" t="s">
        <v>653</v>
      </c>
    </row>
    <row r="130" spans="2:12">
      <c r="B130" s="150">
        <v>127</v>
      </c>
      <c r="C130" s="4" t="s">
        <v>139</v>
      </c>
      <c r="D130" s="56">
        <v>16102173</v>
      </c>
      <c r="E130" s="4"/>
      <c r="F130" s="65">
        <v>18079</v>
      </c>
      <c r="G130" s="4" t="s">
        <v>734</v>
      </c>
      <c r="H130" s="10"/>
      <c r="I130" s="3" t="s">
        <v>860</v>
      </c>
      <c r="J130" s="168">
        <v>46008</v>
      </c>
      <c r="K130" s="3" t="s">
        <v>653</v>
      </c>
    </row>
    <row r="131" spans="2:12">
      <c r="B131" s="150">
        <v>128</v>
      </c>
      <c r="C131" s="4" t="s">
        <v>139</v>
      </c>
      <c r="D131" s="56">
        <v>16102174</v>
      </c>
      <c r="E131" s="4"/>
      <c r="F131" s="65">
        <v>18115</v>
      </c>
      <c r="G131" s="4" t="s">
        <v>152</v>
      </c>
      <c r="H131" s="10"/>
      <c r="I131" s="3" t="s">
        <v>860</v>
      </c>
      <c r="J131" s="168">
        <v>46008</v>
      </c>
      <c r="K131" s="3" t="s">
        <v>653</v>
      </c>
    </row>
    <row r="132" spans="2:12">
      <c r="B132" s="150">
        <v>129</v>
      </c>
      <c r="C132" s="4" t="s">
        <v>139</v>
      </c>
      <c r="D132" s="56">
        <v>16102175</v>
      </c>
      <c r="E132" s="4"/>
      <c r="F132" s="65">
        <v>18191</v>
      </c>
      <c r="G132" s="4" t="s">
        <v>799</v>
      </c>
      <c r="H132" s="10"/>
      <c r="I132" s="3" t="s">
        <v>860</v>
      </c>
      <c r="J132" s="168">
        <v>46008</v>
      </c>
      <c r="K132" s="3" t="s">
        <v>653</v>
      </c>
    </row>
    <row r="133" spans="2:12">
      <c r="B133" s="150">
        <v>130</v>
      </c>
      <c r="C133" s="4" t="s">
        <v>139</v>
      </c>
      <c r="D133" s="56">
        <v>16102176</v>
      </c>
      <c r="F133" s="64">
        <v>18073</v>
      </c>
      <c r="G133" s="4" t="s">
        <v>861</v>
      </c>
      <c r="I133" s="3" t="s">
        <v>860</v>
      </c>
      <c r="J133" s="168">
        <v>46008</v>
      </c>
      <c r="K133" s="3" t="s">
        <v>653</v>
      </c>
      <c r="L133" s="5" t="s">
        <v>862</v>
      </c>
    </row>
  </sheetData>
  <autoFilter ref="A3:K5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19" priority="1" operator="containsText" text="見積！">
      <formula>NOT(ISERROR(SEARCH("見積！",A1)))</formula>
    </cfRule>
  </conditionalFormatting>
  <conditionalFormatting sqref="A4:A1048576">
    <cfRule type="containsText" dxfId="118" priority="4" operator="containsText" text="着手">
      <formula>NOT(ISERROR(SEARCH("着手",A4)))</formula>
    </cfRule>
    <cfRule type="containsText" dxfId="117" priority="5" operator="containsText" text="見積完了">
      <formula>NOT(ISERROR(SEARCH("見積完了",A4)))</formula>
    </cfRule>
    <cfRule type="containsText" dxfId="116" priority="6" operator="containsText" text="中止">
      <formula>NOT(ISERROR(SEARCH("中止",A4)))</formula>
    </cfRule>
    <cfRule type="containsText" dxfId="115" priority="7" operator="containsText" text="保留">
      <formula>NOT(ISERROR(SEARCH("保留",A4)))</formula>
    </cfRule>
    <cfRule type="containsText" dxfId="114" priority="8" operator="containsText" text="進行中">
      <formula>NOT(ISERROR(SEARCH("進行中",A4)))</formula>
    </cfRule>
    <cfRule type="containsText" dxfId="113" priority="9" operator="containsText" text="完了">
      <formula>NOT(ISERROR(SEARCH("完了",A4)))</formula>
    </cfRule>
  </conditionalFormatting>
  <dataValidations count="2">
    <dataValidation imeMode="off" allowBlank="1" showInputMessage="1" showErrorMessage="1" sqref="G1 H1:H1048576 B1:B1048576 D1:F1048576 J1:J1048576" xr:uid="{2F7D955F-E50B-44C0-92A0-B31507D1C905}"/>
    <dataValidation imeMode="on" allowBlank="1" showInputMessage="1" showErrorMessage="1" sqref="A2 I1:I1048576 C1:C1048576 G2:G1048576 K1:L1048576" xr:uid="{64BC4BE7-C2DD-4F72-85B6-E6FFE4A82D77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8F1790-494E-45FB-9530-5B9BF997679E}">
          <x14:formula1>
            <xm:f>タスク!$B$3:$B$14</xm:f>
          </x14:formula1>
          <xm:sqref>A4:A1048576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957D-DC0F-4500-9FE0-E44D1C65EF99}">
  <sheetPr codeName="Sheet10">
    <pageSetUpPr fitToPage="1"/>
  </sheetPr>
  <dimension ref="A1:M84"/>
  <sheetViews>
    <sheetView zoomScale="130" zoomScaleNormal="130" workbookViewId="0">
      <pane ySplit="3" topLeftCell="A23" activePane="bottomLeft" state="frozen"/>
      <selection activeCell="A11" sqref="A11"/>
      <selection pane="bottomLeft" activeCell="A33" sqref="A3:XFD33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hidden="1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157" t="s">
        <v>27</v>
      </c>
    </row>
    <row r="4" spans="1:13" ht="18.600000000000001" hidden="1" thickTop="1">
      <c r="A4" s="17" t="s">
        <v>28</v>
      </c>
      <c r="B4" s="3">
        <v>1</v>
      </c>
      <c r="C4" s="4" t="s">
        <v>157</v>
      </c>
      <c r="D4" s="57">
        <v>16104060</v>
      </c>
      <c r="E4" s="4" t="s">
        <v>158</v>
      </c>
      <c r="F4" s="65" t="s">
        <v>159</v>
      </c>
      <c r="G4" s="4" t="s">
        <v>160</v>
      </c>
      <c r="H4" s="10"/>
      <c r="I4" s="3" t="s">
        <v>33</v>
      </c>
      <c r="J4" s="1">
        <v>44923</v>
      </c>
      <c r="K4" s="3" t="s">
        <v>34</v>
      </c>
      <c r="L4" s="4"/>
    </row>
    <row r="5" spans="1:13" hidden="1">
      <c r="A5" s="17" t="s">
        <v>28</v>
      </c>
      <c r="B5" s="3">
        <v>2</v>
      </c>
      <c r="C5" s="4" t="s">
        <v>161</v>
      </c>
      <c r="D5" s="57">
        <v>16104061</v>
      </c>
      <c r="E5" s="4" t="s">
        <v>162</v>
      </c>
      <c r="F5" s="65" t="s">
        <v>163</v>
      </c>
      <c r="G5" s="4" t="s">
        <v>69</v>
      </c>
      <c r="H5" s="10"/>
      <c r="I5" s="3" t="s">
        <v>33</v>
      </c>
      <c r="J5" s="1">
        <v>44923</v>
      </c>
      <c r="K5" s="3" t="s">
        <v>34</v>
      </c>
      <c r="L5" s="4"/>
    </row>
    <row r="6" spans="1:13" hidden="1">
      <c r="A6" s="17" t="s">
        <v>28</v>
      </c>
      <c r="B6" s="3">
        <v>3</v>
      </c>
      <c r="C6" s="4" t="s">
        <v>157</v>
      </c>
      <c r="D6" s="57">
        <v>16104062</v>
      </c>
      <c r="E6" s="4" t="s">
        <v>164</v>
      </c>
      <c r="F6" s="65">
        <v>8431</v>
      </c>
      <c r="G6" s="4" t="s">
        <v>160</v>
      </c>
      <c r="H6" s="10"/>
      <c r="I6" s="3" t="s">
        <v>74</v>
      </c>
      <c r="J6" s="1">
        <v>44965</v>
      </c>
      <c r="K6" s="3" t="s">
        <v>34</v>
      </c>
      <c r="L6" s="4"/>
    </row>
    <row r="7" spans="1:13" hidden="1">
      <c r="A7" s="17" t="s">
        <v>28</v>
      </c>
      <c r="B7" s="3">
        <v>4</v>
      </c>
      <c r="C7" s="4" t="s">
        <v>161</v>
      </c>
      <c r="D7" s="57">
        <v>16104063</v>
      </c>
      <c r="E7" s="4" t="s">
        <v>165</v>
      </c>
      <c r="F7" s="65">
        <v>8430</v>
      </c>
      <c r="G7" s="4" t="s">
        <v>69</v>
      </c>
      <c r="H7" s="10"/>
      <c r="I7" s="3" t="s">
        <v>74</v>
      </c>
      <c r="J7" s="1">
        <v>44965</v>
      </c>
      <c r="K7" s="3" t="s">
        <v>34</v>
      </c>
      <c r="L7" s="4"/>
    </row>
    <row r="8" spans="1:13" hidden="1">
      <c r="A8" s="17" t="s">
        <v>28</v>
      </c>
      <c r="B8" s="3">
        <v>5</v>
      </c>
      <c r="C8" s="4" t="s">
        <v>161</v>
      </c>
      <c r="D8" s="57">
        <v>16104064</v>
      </c>
      <c r="E8" s="4" t="s">
        <v>166</v>
      </c>
      <c r="F8" s="65">
        <v>8662</v>
      </c>
      <c r="G8" s="4" t="s">
        <v>69</v>
      </c>
      <c r="H8" s="10"/>
      <c r="I8" s="3" t="s">
        <v>79</v>
      </c>
      <c r="J8" s="1">
        <v>44986</v>
      </c>
      <c r="K8" s="3" t="s">
        <v>34</v>
      </c>
      <c r="L8" s="4"/>
    </row>
    <row r="9" spans="1:13" hidden="1">
      <c r="A9" s="17" t="s">
        <v>28</v>
      </c>
      <c r="B9" s="3">
        <v>6</v>
      </c>
      <c r="C9" s="4" t="s">
        <v>157</v>
      </c>
      <c r="D9" s="57">
        <v>16104065</v>
      </c>
      <c r="E9" s="4" t="s">
        <v>167</v>
      </c>
      <c r="F9" s="65">
        <v>8707</v>
      </c>
      <c r="G9" s="4" t="s">
        <v>160</v>
      </c>
      <c r="H9" s="10"/>
      <c r="I9" s="3" t="s">
        <v>79</v>
      </c>
      <c r="J9" s="1">
        <v>44986</v>
      </c>
      <c r="K9" s="3" t="s">
        <v>34</v>
      </c>
      <c r="L9" s="4"/>
    </row>
    <row r="10" spans="1:13" hidden="1">
      <c r="A10" s="17" t="s">
        <v>28</v>
      </c>
      <c r="B10" s="3">
        <v>7</v>
      </c>
      <c r="C10" s="4" t="s">
        <v>161</v>
      </c>
      <c r="D10" s="57">
        <v>16104066</v>
      </c>
      <c r="E10" s="4"/>
      <c r="F10" s="65">
        <v>8851</v>
      </c>
      <c r="G10" s="4" t="s">
        <v>168</v>
      </c>
      <c r="H10" s="10"/>
      <c r="I10" s="3" t="s">
        <v>38</v>
      </c>
      <c r="J10" s="1">
        <v>44994</v>
      </c>
      <c r="K10" s="3" t="s">
        <v>34</v>
      </c>
      <c r="L10" s="4"/>
    </row>
    <row r="11" spans="1:13" hidden="1">
      <c r="A11" s="17" t="s">
        <v>28</v>
      </c>
      <c r="B11" s="3">
        <v>8</v>
      </c>
      <c r="C11" s="4" t="s">
        <v>157</v>
      </c>
      <c r="D11" s="57">
        <v>16104067</v>
      </c>
      <c r="E11" s="4"/>
      <c r="F11" s="65">
        <v>8858</v>
      </c>
      <c r="G11" s="4" t="s">
        <v>160</v>
      </c>
      <c r="H11" s="10"/>
      <c r="I11" s="3" t="s">
        <v>80</v>
      </c>
      <c r="J11" s="1">
        <v>45016</v>
      </c>
      <c r="K11" s="3" t="s">
        <v>34</v>
      </c>
      <c r="L11" s="4"/>
    </row>
    <row r="12" spans="1:13" hidden="1">
      <c r="A12" s="17" t="s">
        <v>28</v>
      </c>
      <c r="B12" s="3">
        <v>9</v>
      </c>
      <c r="C12" s="4" t="s">
        <v>157</v>
      </c>
      <c r="D12" s="57">
        <v>16104068</v>
      </c>
      <c r="E12" s="4"/>
      <c r="F12" s="65">
        <v>9173</v>
      </c>
      <c r="G12" s="4" t="s">
        <v>160</v>
      </c>
      <c r="H12" s="10"/>
      <c r="I12" s="3" t="s">
        <v>82</v>
      </c>
      <c r="J12" s="1">
        <v>45044</v>
      </c>
      <c r="K12" s="3" t="s">
        <v>34</v>
      </c>
      <c r="L12" s="4"/>
    </row>
    <row r="13" spans="1:13" hidden="1">
      <c r="A13" s="17" t="s">
        <v>28</v>
      </c>
      <c r="B13" s="3">
        <v>10</v>
      </c>
      <c r="C13" s="4" t="s">
        <v>157</v>
      </c>
      <c r="D13" s="57">
        <v>16104069</v>
      </c>
      <c r="E13" s="4"/>
      <c r="F13" s="65">
        <v>9442</v>
      </c>
      <c r="G13" s="4" t="s">
        <v>160</v>
      </c>
      <c r="H13" s="10"/>
      <c r="I13" s="3" t="s">
        <v>54</v>
      </c>
      <c r="J13" s="1">
        <v>45078</v>
      </c>
      <c r="K13" s="3" t="s">
        <v>34</v>
      </c>
      <c r="L13" s="4"/>
    </row>
    <row r="14" spans="1:13" hidden="1">
      <c r="A14" s="17" t="s">
        <v>28</v>
      </c>
      <c r="B14" s="3">
        <v>11</v>
      </c>
      <c r="C14" s="4" t="s">
        <v>157</v>
      </c>
      <c r="D14" s="57">
        <v>16104070</v>
      </c>
      <c r="E14" s="4"/>
      <c r="F14" s="65">
        <v>9732</v>
      </c>
      <c r="G14" s="4" t="s">
        <v>160</v>
      </c>
      <c r="H14" s="10"/>
      <c r="I14" s="3" t="s">
        <v>56</v>
      </c>
      <c r="J14" s="1">
        <v>45105</v>
      </c>
      <c r="K14" s="3" t="s">
        <v>34</v>
      </c>
      <c r="L14" s="4"/>
    </row>
    <row r="15" spans="1:13" hidden="1">
      <c r="A15" s="17" t="s">
        <v>28</v>
      </c>
      <c r="B15" s="3">
        <v>12</v>
      </c>
      <c r="C15" s="4" t="s">
        <v>157</v>
      </c>
      <c r="D15" s="57">
        <v>16104071</v>
      </c>
      <c r="E15" s="4"/>
      <c r="F15" s="65">
        <v>10100</v>
      </c>
      <c r="G15" s="4" t="s">
        <v>160</v>
      </c>
      <c r="H15" s="10"/>
      <c r="I15" s="3" t="s">
        <v>84</v>
      </c>
      <c r="J15" s="1">
        <v>45128</v>
      </c>
      <c r="K15" s="3" t="s">
        <v>34</v>
      </c>
      <c r="L15" s="4"/>
    </row>
    <row r="16" spans="1:13" hidden="1">
      <c r="A16" s="17" t="s">
        <v>28</v>
      </c>
      <c r="B16" s="3">
        <v>13</v>
      </c>
      <c r="C16" s="4" t="s">
        <v>161</v>
      </c>
      <c r="D16" s="57">
        <v>16104072</v>
      </c>
      <c r="E16" s="4"/>
      <c r="F16" s="65">
        <v>10243</v>
      </c>
      <c r="G16" s="4" t="s">
        <v>169</v>
      </c>
      <c r="H16" s="10"/>
      <c r="I16" s="3" t="s">
        <v>84</v>
      </c>
      <c r="J16" s="1">
        <v>45141</v>
      </c>
      <c r="K16" s="3" t="s">
        <v>34</v>
      </c>
      <c r="L16" s="4"/>
    </row>
    <row r="17" spans="1:12" hidden="1">
      <c r="A17" s="17" t="s">
        <v>28</v>
      </c>
      <c r="B17" s="3">
        <v>14</v>
      </c>
      <c r="C17" s="4" t="s">
        <v>161</v>
      </c>
      <c r="D17" s="57">
        <v>16104073</v>
      </c>
      <c r="E17" s="4"/>
      <c r="F17" s="65">
        <v>10325</v>
      </c>
      <c r="G17" s="4" t="s">
        <v>170</v>
      </c>
      <c r="H17" s="10"/>
      <c r="I17" s="3" t="s">
        <v>45</v>
      </c>
      <c r="J17" s="1">
        <v>45141</v>
      </c>
      <c r="K17" s="3" t="s">
        <v>34</v>
      </c>
      <c r="L17" s="4"/>
    </row>
    <row r="18" spans="1:12" hidden="1">
      <c r="A18" s="17" t="s">
        <v>28</v>
      </c>
      <c r="B18" s="3">
        <v>15</v>
      </c>
      <c r="C18" s="4" t="s">
        <v>157</v>
      </c>
      <c r="D18" s="57">
        <v>16104074</v>
      </c>
      <c r="E18" s="4"/>
      <c r="F18" s="65">
        <v>10410</v>
      </c>
      <c r="G18" s="4" t="s">
        <v>160</v>
      </c>
      <c r="H18" s="10"/>
      <c r="I18" s="3" t="s">
        <v>469</v>
      </c>
      <c r="J18" s="1">
        <v>45148</v>
      </c>
      <c r="K18" s="3" t="s">
        <v>34</v>
      </c>
      <c r="L18" s="4"/>
    </row>
    <row r="19" spans="1:12" hidden="1">
      <c r="A19" s="17" t="s">
        <v>28</v>
      </c>
      <c r="B19" s="3">
        <v>16</v>
      </c>
      <c r="C19" s="4" t="s">
        <v>161</v>
      </c>
      <c r="D19" s="57">
        <v>16104075</v>
      </c>
      <c r="E19" s="4"/>
      <c r="F19" s="65">
        <v>10404</v>
      </c>
      <c r="G19" s="4" t="s">
        <v>169</v>
      </c>
      <c r="H19" s="10"/>
      <c r="I19" s="3" t="s">
        <v>469</v>
      </c>
      <c r="J19" s="1">
        <v>45148</v>
      </c>
      <c r="K19" s="3" t="s">
        <v>34</v>
      </c>
      <c r="L19" s="4"/>
    </row>
    <row r="20" spans="1:12" hidden="1">
      <c r="A20" s="17" t="s">
        <v>28</v>
      </c>
      <c r="B20" s="3">
        <v>17</v>
      </c>
      <c r="C20" s="4" t="s">
        <v>161</v>
      </c>
      <c r="D20" s="57">
        <v>16104076</v>
      </c>
      <c r="E20" s="4"/>
      <c r="F20" s="65">
        <v>10405</v>
      </c>
      <c r="G20" s="4" t="s">
        <v>170</v>
      </c>
      <c r="H20" s="10"/>
      <c r="I20" s="3" t="s">
        <v>469</v>
      </c>
      <c r="J20" s="1">
        <v>45148</v>
      </c>
      <c r="K20" s="3" t="s">
        <v>34</v>
      </c>
      <c r="L20" s="4"/>
    </row>
    <row r="21" spans="1:12" hidden="1">
      <c r="A21" s="17" t="s">
        <v>28</v>
      </c>
      <c r="B21" s="3">
        <v>18</v>
      </c>
      <c r="C21" s="4" t="s">
        <v>161</v>
      </c>
      <c r="D21" s="57">
        <v>16104077</v>
      </c>
      <c r="E21" s="4"/>
      <c r="F21" s="65">
        <v>10449</v>
      </c>
      <c r="G21" s="4" t="s">
        <v>471</v>
      </c>
      <c r="H21" s="10"/>
      <c r="I21" s="3" t="s">
        <v>472</v>
      </c>
      <c r="J21" s="1">
        <v>45160</v>
      </c>
      <c r="K21" s="3" t="s">
        <v>34</v>
      </c>
      <c r="L21" s="4"/>
    </row>
    <row r="22" spans="1:12" hidden="1">
      <c r="A22" s="17" t="s">
        <v>28</v>
      </c>
      <c r="B22" s="3">
        <v>19</v>
      </c>
      <c r="C22" s="4" t="s">
        <v>161</v>
      </c>
      <c r="D22" s="57">
        <v>16104078</v>
      </c>
      <c r="E22" s="4"/>
      <c r="F22" s="65" t="s">
        <v>479</v>
      </c>
      <c r="G22" s="4" t="s">
        <v>480</v>
      </c>
      <c r="H22" s="10"/>
      <c r="I22" s="3" t="s">
        <v>85</v>
      </c>
      <c r="J22" s="1">
        <v>45188</v>
      </c>
      <c r="K22" s="3" t="s">
        <v>477</v>
      </c>
      <c r="L22" s="4"/>
    </row>
    <row r="23" spans="1:12" hidden="1">
      <c r="A23" s="17" t="s">
        <v>28</v>
      </c>
      <c r="B23" s="3">
        <v>20</v>
      </c>
      <c r="C23" s="4" t="s">
        <v>161</v>
      </c>
      <c r="D23" s="57">
        <v>16104079</v>
      </c>
      <c r="E23" s="4"/>
      <c r="F23" s="65">
        <v>10582</v>
      </c>
      <c r="G23" s="4" t="s">
        <v>160</v>
      </c>
      <c r="H23" s="10"/>
      <c r="I23" s="3" t="s">
        <v>47</v>
      </c>
      <c r="J23" s="1">
        <v>45198</v>
      </c>
      <c r="K23" s="3" t="s">
        <v>477</v>
      </c>
      <c r="L23" s="4"/>
    </row>
    <row r="24" spans="1:12" hidden="1">
      <c r="A24" s="17" t="s">
        <v>28</v>
      </c>
      <c r="B24" s="3">
        <v>21</v>
      </c>
      <c r="C24" s="4" t="s">
        <v>161</v>
      </c>
      <c r="D24" s="57">
        <v>16104080</v>
      </c>
      <c r="E24" s="4"/>
      <c r="F24" s="65">
        <v>10565</v>
      </c>
      <c r="G24" s="4" t="s">
        <v>169</v>
      </c>
      <c r="H24" s="10"/>
      <c r="I24" s="3" t="s">
        <v>47</v>
      </c>
      <c r="J24" s="1">
        <v>45198</v>
      </c>
      <c r="K24" s="3" t="s">
        <v>477</v>
      </c>
      <c r="L24" s="4"/>
    </row>
    <row r="25" spans="1:12" hidden="1">
      <c r="A25" s="17" t="s">
        <v>28</v>
      </c>
      <c r="B25" s="3">
        <v>22</v>
      </c>
      <c r="C25" s="4" t="s">
        <v>161</v>
      </c>
      <c r="D25" s="57">
        <v>16104081</v>
      </c>
      <c r="E25" s="4"/>
      <c r="F25" s="65">
        <v>10564</v>
      </c>
      <c r="G25" s="4" t="s">
        <v>170</v>
      </c>
      <c r="H25" s="10"/>
      <c r="I25" s="3" t="s">
        <v>47</v>
      </c>
      <c r="J25" s="1">
        <v>45198</v>
      </c>
      <c r="K25" s="3" t="s">
        <v>477</v>
      </c>
      <c r="L25" s="4"/>
    </row>
    <row r="26" spans="1:12" hidden="1">
      <c r="A26" s="17" t="s">
        <v>44</v>
      </c>
      <c r="B26" s="3">
        <v>23</v>
      </c>
      <c r="C26" s="4" t="s">
        <v>161</v>
      </c>
      <c r="D26" s="57">
        <v>16104082</v>
      </c>
      <c r="E26" s="4"/>
      <c r="F26" s="65">
        <v>10990</v>
      </c>
      <c r="G26" s="4" t="s">
        <v>169</v>
      </c>
      <c r="H26" s="10"/>
      <c r="I26" s="3" t="s">
        <v>48</v>
      </c>
      <c r="J26" s="1">
        <v>45225</v>
      </c>
      <c r="K26" s="3" t="s">
        <v>477</v>
      </c>
      <c r="L26" s="4"/>
    </row>
    <row r="27" spans="1:12" hidden="1">
      <c r="A27" s="17" t="s">
        <v>44</v>
      </c>
      <c r="B27" s="3">
        <v>24</v>
      </c>
      <c r="C27" s="4" t="s">
        <v>161</v>
      </c>
      <c r="D27" s="57">
        <v>16104083</v>
      </c>
      <c r="E27" s="4"/>
      <c r="F27" s="65">
        <v>10984</v>
      </c>
      <c r="G27" s="4" t="s">
        <v>160</v>
      </c>
      <c r="H27" s="10"/>
      <c r="I27" s="3" t="s">
        <v>48</v>
      </c>
      <c r="J27" s="1">
        <v>45225</v>
      </c>
      <c r="K27" s="3" t="s">
        <v>477</v>
      </c>
      <c r="L27" s="4"/>
    </row>
    <row r="28" spans="1:12" hidden="1">
      <c r="A28" s="17" t="s">
        <v>44</v>
      </c>
      <c r="B28" s="3">
        <v>25</v>
      </c>
      <c r="C28" s="4" t="s">
        <v>161</v>
      </c>
      <c r="D28" s="57">
        <v>16104084</v>
      </c>
      <c r="E28" s="4"/>
      <c r="F28" s="65">
        <v>10982</v>
      </c>
      <c r="G28" s="4" t="s">
        <v>170</v>
      </c>
      <c r="H28" s="10"/>
      <c r="I28" s="3" t="s">
        <v>48</v>
      </c>
      <c r="J28" s="1">
        <v>45225</v>
      </c>
      <c r="K28" s="3" t="s">
        <v>477</v>
      </c>
      <c r="L28" s="4"/>
    </row>
    <row r="29" spans="1:12" hidden="1">
      <c r="A29" s="17"/>
      <c r="B29" s="3">
        <v>26</v>
      </c>
      <c r="C29" s="4" t="s">
        <v>161</v>
      </c>
      <c r="D29" s="57">
        <v>16104085</v>
      </c>
      <c r="E29" s="4"/>
      <c r="F29" s="65">
        <v>11330</v>
      </c>
      <c r="G29" s="4" t="s">
        <v>147</v>
      </c>
      <c r="H29" s="10"/>
      <c r="I29" s="3" t="s">
        <v>48</v>
      </c>
      <c r="J29" s="1">
        <v>45257</v>
      </c>
      <c r="K29" s="3" t="s">
        <v>477</v>
      </c>
      <c r="L29" s="4"/>
    </row>
    <row r="30" spans="1:12" hidden="1">
      <c r="A30" s="17"/>
      <c r="B30" s="3">
        <v>27</v>
      </c>
      <c r="C30" s="4" t="s">
        <v>484</v>
      </c>
      <c r="D30" s="57">
        <v>16104086</v>
      </c>
      <c r="E30" s="4"/>
      <c r="F30" s="65">
        <v>11197</v>
      </c>
      <c r="G30" s="4" t="s">
        <v>160</v>
      </c>
      <c r="H30" s="10"/>
      <c r="I30" s="3" t="s">
        <v>49</v>
      </c>
      <c r="J30" s="1">
        <v>45250</v>
      </c>
      <c r="K30" s="3" t="s">
        <v>477</v>
      </c>
      <c r="L30" s="4"/>
    </row>
    <row r="31" spans="1:12" hidden="1">
      <c r="A31" s="17"/>
      <c r="B31" s="3">
        <v>28</v>
      </c>
      <c r="C31" s="4" t="s">
        <v>485</v>
      </c>
      <c r="D31" s="57">
        <v>16104087</v>
      </c>
      <c r="E31" s="4"/>
      <c r="F31" s="65">
        <v>11192</v>
      </c>
      <c r="G31" s="4" t="s">
        <v>170</v>
      </c>
      <c r="H31" s="10"/>
      <c r="I31" s="3" t="s">
        <v>49</v>
      </c>
      <c r="J31" s="1">
        <v>45250</v>
      </c>
      <c r="K31" s="3" t="s">
        <v>477</v>
      </c>
      <c r="L31" s="4"/>
    </row>
    <row r="32" spans="1:12" hidden="1">
      <c r="A32" s="17"/>
      <c r="B32" s="3">
        <v>29</v>
      </c>
      <c r="C32" s="4" t="s">
        <v>486</v>
      </c>
      <c r="D32" s="57">
        <v>16104088</v>
      </c>
      <c r="E32" s="4"/>
      <c r="F32" s="65">
        <v>11191</v>
      </c>
      <c r="G32" s="4" t="s">
        <v>169</v>
      </c>
      <c r="H32" s="10"/>
      <c r="I32" s="3" t="s">
        <v>49</v>
      </c>
      <c r="J32" s="1">
        <v>45250</v>
      </c>
      <c r="K32" s="3" t="s">
        <v>477</v>
      </c>
      <c r="L32" s="4"/>
    </row>
    <row r="33" spans="1:12" hidden="1">
      <c r="A33" s="3"/>
      <c r="B33" s="3">
        <v>30</v>
      </c>
      <c r="C33" s="4" t="s">
        <v>161</v>
      </c>
      <c r="D33" s="57">
        <v>16104089</v>
      </c>
      <c r="E33" s="4"/>
      <c r="F33" s="65">
        <v>11584</v>
      </c>
      <c r="G33" s="4" t="s">
        <v>160</v>
      </c>
      <c r="H33" s="10"/>
      <c r="I33" s="3" t="s">
        <v>33</v>
      </c>
      <c r="J33" s="1">
        <v>45279</v>
      </c>
      <c r="K33" s="3" t="s">
        <v>477</v>
      </c>
      <c r="L33" s="4"/>
    </row>
    <row r="34" spans="1:12">
      <c r="A34" s="3"/>
      <c r="B34" s="3">
        <v>31</v>
      </c>
      <c r="C34" s="4" t="s">
        <v>161</v>
      </c>
      <c r="D34" s="57">
        <v>16104090</v>
      </c>
      <c r="E34" s="4"/>
      <c r="F34" s="65">
        <v>11581</v>
      </c>
      <c r="G34" s="4" t="s">
        <v>170</v>
      </c>
      <c r="H34" s="10"/>
      <c r="I34" s="3" t="s">
        <v>33</v>
      </c>
      <c r="J34" s="1">
        <v>45279</v>
      </c>
      <c r="K34" s="3" t="s">
        <v>477</v>
      </c>
      <c r="L34" s="4"/>
    </row>
    <row r="35" spans="1:12">
      <c r="A35" s="3"/>
      <c r="B35" s="3">
        <v>32</v>
      </c>
      <c r="C35" s="4" t="s">
        <v>161</v>
      </c>
      <c r="D35" s="57">
        <v>16104091</v>
      </c>
      <c r="E35" s="4"/>
      <c r="F35" s="65">
        <v>11580</v>
      </c>
      <c r="G35" s="4" t="s">
        <v>169</v>
      </c>
      <c r="H35" s="10"/>
      <c r="I35" s="3" t="s">
        <v>33</v>
      </c>
      <c r="J35" s="1">
        <v>45279</v>
      </c>
      <c r="K35" s="3" t="s">
        <v>477</v>
      </c>
      <c r="L35" s="4"/>
    </row>
    <row r="36" spans="1:12">
      <c r="A36" s="3"/>
      <c r="B36" s="3">
        <v>33</v>
      </c>
      <c r="C36" s="4" t="s">
        <v>161</v>
      </c>
      <c r="D36" s="57">
        <v>16104092</v>
      </c>
      <c r="E36" s="4"/>
      <c r="F36" s="65">
        <v>11805</v>
      </c>
      <c r="G36" s="4" t="s">
        <v>169</v>
      </c>
      <c r="H36" s="10"/>
      <c r="I36" s="3" t="s">
        <v>518</v>
      </c>
      <c r="J36" s="1">
        <v>45309</v>
      </c>
      <c r="K36" s="3" t="s">
        <v>477</v>
      </c>
      <c r="L36" s="4"/>
    </row>
    <row r="37" spans="1:12">
      <c r="A37" s="3"/>
      <c r="B37" s="3">
        <v>34</v>
      </c>
      <c r="C37" s="4" t="s">
        <v>161</v>
      </c>
      <c r="D37" s="57">
        <v>16104093</v>
      </c>
      <c r="E37" s="4"/>
      <c r="F37" s="65">
        <v>11806</v>
      </c>
      <c r="G37" s="4" t="s">
        <v>170</v>
      </c>
      <c r="H37" s="10"/>
      <c r="I37" s="3" t="s">
        <v>518</v>
      </c>
      <c r="J37" s="1">
        <v>45309</v>
      </c>
      <c r="K37" s="3" t="s">
        <v>477</v>
      </c>
      <c r="L37" s="4"/>
    </row>
    <row r="38" spans="1:12">
      <c r="A38" s="3"/>
      <c r="B38" s="3">
        <v>35</v>
      </c>
      <c r="C38" s="4" t="s">
        <v>161</v>
      </c>
      <c r="D38" s="57">
        <v>16104094</v>
      </c>
      <c r="E38" s="4"/>
      <c r="F38" s="65">
        <v>11807</v>
      </c>
      <c r="G38" s="4" t="s">
        <v>160</v>
      </c>
      <c r="H38" s="10"/>
      <c r="I38" s="3" t="s">
        <v>522</v>
      </c>
      <c r="J38" s="1">
        <v>45279</v>
      </c>
      <c r="K38" s="3" t="s">
        <v>477</v>
      </c>
      <c r="L38" s="4"/>
    </row>
    <row r="39" spans="1:12">
      <c r="A39" s="3"/>
      <c r="B39" s="3">
        <v>36</v>
      </c>
      <c r="C39" s="4" t="s">
        <v>161</v>
      </c>
      <c r="D39" s="57">
        <v>16104095</v>
      </c>
      <c r="E39" s="4"/>
      <c r="F39" s="65">
        <v>12099</v>
      </c>
      <c r="G39" s="4" t="s">
        <v>170</v>
      </c>
      <c r="H39" s="10"/>
      <c r="I39" s="3" t="s">
        <v>217</v>
      </c>
      <c r="J39" s="1">
        <v>45337</v>
      </c>
      <c r="K39" s="3" t="s">
        <v>477</v>
      </c>
      <c r="L39" s="4"/>
    </row>
    <row r="40" spans="1:12">
      <c r="A40" s="3"/>
      <c r="B40" s="3">
        <v>37</v>
      </c>
      <c r="C40" s="4" t="s">
        <v>161</v>
      </c>
      <c r="D40" s="57">
        <v>16104096</v>
      </c>
      <c r="E40" s="4"/>
      <c r="F40" s="65">
        <v>12098</v>
      </c>
      <c r="G40" s="4" t="s">
        <v>169</v>
      </c>
      <c r="H40" s="10"/>
      <c r="I40" s="3" t="s">
        <v>217</v>
      </c>
      <c r="J40" s="1">
        <v>45337</v>
      </c>
      <c r="K40" s="3" t="s">
        <v>477</v>
      </c>
      <c r="L40" s="4"/>
    </row>
    <row r="41" spans="1:12">
      <c r="A41" s="3"/>
      <c r="B41" s="3">
        <v>38</v>
      </c>
      <c r="C41" s="4" t="s">
        <v>161</v>
      </c>
      <c r="D41" s="57">
        <v>16104097</v>
      </c>
      <c r="E41" s="4"/>
      <c r="F41" s="65">
        <v>12100</v>
      </c>
      <c r="G41" s="4" t="s">
        <v>160</v>
      </c>
      <c r="H41" s="10"/>
      <c r="I41" s="3" t="s">
        <v>217</v>
      </c>
      <c r="J41" s="1">
        <v>45337</v>
      </c>
      <c r="K41" s="3" t="s">
        <v>477</v>
      </c>
      <c r="L41" s="4"/>
    </row>
    <row r="42" spans="1:12">
      <c r="A42" s="3"/>
      <c r="B42" s="3">
        <v>39</v>
      </c>
      <c r="C42" s="4" t="s">
        <v>161</v>
      </c>
      <c r="D42" s="57">
        <v>16104098</v>
      </c>
      <c r="E42" s="4"/>
      <c r="F42" s="65" t="s">
        <v>553</v>
      </c>
      <c r="G42" s="4" t="s">
        <v>169</v>
      </c>
      <c r="H42" s="10"/>
      <c r="I42" s="3" t="s">
        <v>535</v>
      </c>
      <c r="J42" s="1">
        <v>45377</v>
      </c>
      <c r="K42" s="3" t="s">
        <v>477</v>
      </c>
      <c r="L42" s="4"/>
    </row>
    <row r="43" spans="1:12">
      <c r="A43" s="3"/>
      <c r="B43" s="3">
        <v>40</v>
      </c>
      <c r="C43" s="4" t="s">
        <v>161</v>
      </c>
      <c r="D43" s="57">
        <v>16104099</v>
      </c>
      <c r="E43" s="4"/>
      <c r="F43" s="65" t="s">
        <v>569</v>
      </c>
      <c r="G43" s="4" t="s">
        <v>169</v>
      </c>
      <c r="H43" s="10"/>
      <c r="I43" s="3" t="s">
        <v>82</v>
      </c>
      <c r="J43" s="1">
        <v>45401</v>
      </c>
      <c r="K43" s="3" t="s">
        <v>477</v>
      </c>
      <c r="L43" s="4"/>
    </row>
    <row r="44" spans="1:12">
      <c r="A44" s="3"/>
      <c r="B44" s="3">
        <v>41</v>
      </c>
      <c r="C44" s="4" t="s">
        <v>623</v>
      </c>
      <c r="D44" s="57">
        <v>16104100</v>
      </c>
      <c r="E44" s="4"/>
      <c r="F44" s="65" t="s">
        <v>624</v>
      </c>
      <c r="G44" s="4" t="s">
        <v>169</v>
      </c>
      <c r="H44" s="10"/>
      <c r="I44" s="3" t="s">
        <v>54</v>
      </c>
      <c r="J44" s="1">
        <v>45435</v>
      </c>
      <c r="K44" s="3" t="s">
        <v>477</v>
      </c>
      <c r="L44" s="4"/>
    </row>
    <row r="45" spans="1:12">
      <c r="A45" s="3"/>
      <c r="B45" s="3">
        <v>42</v>
      </c>
      <c r="C45" s="4" t="s">
        <v>623</v>
      </c>
      <c r="D45" s="57">
        <v>16104101</v>
      </c>
      <c r="E45" s="4"/>
      <c r="F45" s="65">
        <v>13081</v>
      </c>
      <c r="G45" s="4" t="s">
        <v>169</v>
      </c>
      <c r="H45" s="10"/>
      <c r="I45" s="3" t="s">
        <v>56</v>
      </c>
      <c r="J45" s="1">
        <v>45467</v>
      </c>
      <c r="K45" s="3" t="s">
        <v>477</v>
      </c>
      <c r="L45" s="4"/>
    </row>
    <row r="46" spans="1:12">
      <c r="A46" s="3"/>
      <c r="B46" s="3">
        <v>43</v>
      </c>
      <c r="C46" s="4" t="s">
        <v>623</v>
      </c>
      <c r="D46" s="57">
        <v>16104102</v>
      </c>
      <c r="E46" s="4"/>
      <c r="F46" s="65">
        <v>13410</v>
      </c>
      <c r="G46" s="4" t="s">
        <v>169</v>
      </c>
      <c r="H46" s="10"/>
      <c r="I46" s="3" t="s">
        <v>84</v>
      </c>
      <c r="J46" s="12" t="s">
        <v>643</v>
      </c>
      <c r="K46" s="3" t="s">
        <v>477</v>
      </c>
      <c r="L46" s="4"/>
    </row>
    <row r="47" spans="1:12">
      <c r="A47" s="3"/>
      <c r="B47" s="3">
        <v>44</v>
      </c>
      <c r="C47" s="4" t="s">
        <v>623</v>
      </c>
      <c r="D47" s="57">
        <v>16104103</v>
      </c>
      <c r="E47" s="4"/>
      <c r="F47" s="65">
        <v>14126</v>
      </c>
      <c r="G47" s="4" t="s">
        <v>658</v>
      </c>
      <c r="H47" s="10"/>
      <c r="I47" s="3" t="s">
        <v>659</v>
      </c>
      <c r="J47" s="12" t="s">
        <v>660</v>
      </c>
      <c r="K47" s="3" t="s">
        <v>653</v>
      </c>
      <c r="L47" s="4"/>
    </row>
    <row r="48" spans="1:12">
      <c r="A48" s="3"/>
      <c r="B48" s="3">
        <v>45</v>
      </c>
      <c r="C48" s="4" t="s">
        <v>623</v>
      </c>
      <c r="D48" s="57">
        <v>16104104</v>
      </c>
      <c r="E48" s="4"/>
      <c r="F48" s="65">
        <v>15139</v>
      </c>
      <c r="G48" s="4" t="s">
        <v>693</v>
      </c>
      <c r="H48" s="10"/>
      <c r="I48" s="3" t="s">
        <v>518</v>
      </c>
      <c r="J48" s="144" t="s">
        <v>692</v>
      </c>
      <c r="K48" s="3" t="s">
        <v>653</v>
      </c>
      <c r="L48" s="4"/>
    </row>
    <row r="49" spans="1:12">
      <c r="A49" s="3"/>
      <c r="B49" s="3">
        <v>46</v>
      </c>
      <c r="C49" s="4" t="s">
        <v>623</v>
      </c>
      <c r="D49" s="57">
        <v>16104105</v>
      </c>
      <c r="E49" s="4"/>
      <c r="F49" s="65">
        <v>15209</v>
      </c>
      <c r="G49" s="4" t="s">
        <v>693</v>
      </c>
      <c r="H49" s="10"/>
      <c r="I49" s="3" t="s">
        <v>217</v>
      </c>
      <c r="J49" s="144" t="s">
        <v>700</v>
      </c>
      <c r="K49" s="3" t="s">
        <v>653</v>
      </c>
      <c r="L49" s="4"/>
    </row>
    <row r="50" spans="1:12">
      <c r="A50" s="3"/>
      <c r="B50" s="3">
        <v>47</v>
      </c>
      <c r="C50" s="4" t="s">
        <v>623</v>
      </c>
      <c r="D50" s="57">
        <v>16104106</v>
      </c>
      <c r="E50" s="4"/>
      <c r="F50" s="65" t="s">
        <v>718</v>
      </c>
      <c r="G50" s="4" t="s">
        <v>693</v>
      </c>
      <c r="H50" s="10"/>
      <c r="I50" s="3" t="s">
        <v>719</v>
      </c>
      <c r="J50" s="168">
        <v>45744</v>
      </c>
      <c r="K50" s="3" t="s">
        <v>720</v>
      </c>
      <c r="L50" s="4"/>
    </row>
    <row r="51" spans="1:12">
      <c r="A51" s="3"/>
      <c r="B51" s="3">
        <v>48</v>
      </c>
      <c r="C51" s="4" t="s">
        <v>623</v>
      </c>
      <c r="D51" s="57">
        <v>16104107</v>
      </c>
      <c r="E51" s="4"/>
      <c r="F51" s="65" t="s">
        <v>727</v>
      </c>
      <c r="G51" s="4" t="s">
        <v>728</v>
      </c>
      <c r="H51" s="10"/>
      <c r="I51" s="3" t="s">
        <v>719</v>
      </c>
      <c r="J51" s="168">
        <v>45744</v>
      </c>
      <c r="K51" s="3" t="s">
        <v>720</v>
      </c>
      <c r="L51" s="4"/>
    </row>
    <row r="52" spans="1:12">
      <c r="A52" s="3"/>
      <c r="B52" s="3">
        <v>49</v>
      </c>
      <c r="C52" s="4" t="s">
        <v>623</v>
      </c>
      <c r="D52" s="57">
        <v>16104108</v>
      </c>
      <c r="E52" s="4"/>
      <c r="F52" s="65" t="s">
        <v>773</v>
      </c>
      <c r="G52" s="4" t="s">
        <v>693</v>
      </c>
      <c r="H52" s="10"/>
      <c r="I52" s="3" t="s">
        <v>758</v>
      </c>
      <c r="J52" s="168">
        <v>45784</v>
      </c>
      <c r="K52" s="3" t="s">
        <v>710</v>
      </c>
      <c r="L52" s="4"/>
    </row>
    <row r="53" spans="1:12">
      <c r="A53" s="3"/>
      <c r="B53" s="3">
        <v>50</v>
      </c>
      <c r="C53" s="4" t="s">
        <v>623</v>
      </c>
      <c r="D53" s="57">
        <v>16104109</v>
      </c>
      <c r="E53" s="4"/>
      <c r="F53" s="65" t="s">
        <v>774</v>
      </c>
      <c r="G53" s="4" t="s">
        <v>775</v>
      </c>
      <c r="H53" s="10"/>
      <c r="I53" s="3" t="s">
        <v>758</v>
      </c>
      <c r="J53" s="168">
        <v>45784</v>
      </c>
      <c r="K53" s="3" t="s">
        <v>710</v>
      </c>
      <c r="L53" s="4"/>
    </row>
    <row r="54" spans="1:12">
      <c r="A54" s="3"/>
      <c r="B54" s="3">
        <v>51</v>
      </c>
      <c r="C54" s="4" t="s">
        <v>623</v>
      </c>
      <c r="D54" s="57">
        <v>16104110</v>
      </c>
      <c r="E54" s="4"/>
      <c r="F54" s="65" t="s">
        <v>776</v>
      </c>
      <c r="G54" s="4" t="s">
        <v>777</v>
      </c>
      <c r="H54" s="10"/>
      <c r="I54" s="3" t="s">
        <v>758</v>
      </c>
      <c r="J54" s="168">
        <v>45784</v>
      </c>
      <c r="K54" s="3" t="s">
        <v>710</v>
      </c>
      <c r="L54" s="4"/>
    </row>
    <row r="55" spans="1:12">
      <c r="A55" s="3"/>
      <c r="B55" s="3">
        <v>52</v>
      </c>
      <c r="C55" s="4" t="s">
        <v>623</v>
      </c>
      <c r="D55" s="57">
        <v>16104111</v>
      </c>
      <c r="E55" s="4"/>
      <c r="F55" s="65">
        <v>16196</v>
      </c>
      <c r="G55" s="4" t="s">
        <v>775</v>
      </c>
      <c r="H55" s="10"/>
      <c r="I55" s="3" t="s">
        <v>787</v>
      </c>
      <c r="J55" s="168">
        <v>45798</v>
      </c>
      <c r="K55" s="3" t="s">
        <v>710</v>
      </c>
      <c r="L55" s="4"/>
    </row>
    <row r="56" spans="1:12">
      <c r="A56" s="3"/>
      <c r="B56" s="3">
        <v>53</v>
      </c>
      <c r="C56" s="4" t="s">
        <v>623</v>
      </c>
      <c r="D56" s="57">
        <v>16104112</v>
      </c>
      <c r="E56" s="4"/>
      <c r="F56" s="65">
        <v>16197</v>
      </c>
      <c r="G56" s="4" t="s">
        <v>777</v>
      </c>
      <c r="H56" s="10"/>
      <c r="I56" s="3" t="s">
        <v>787</v>
      </c>
      <c r="J56" s="168">
        <v>45798</v>
      </c>
      <c r="K56" s="3" t="s">
        <v>710</v>
      </c>
      <c r="L56" s="4"/>
    </row>
    <row r="57" spans="1:12">
      <c r="A57" s="3"/>
      <c r="B57" s="3">
        <v>54</v>
      </c>
      <c r="C57" s="4" t="s">
        <v>623</v>
      </c>
      <c r="D57" s="57">
        <v>16104113</v>
      </c>
      <c r="E57" s="4"/>
      <c r="F57" s="65">
        <v>16045</v>
      </c>
      <c r="G57" s="4" t="s">
        <v>693</v>
      </c>
      <c r="H57" s="10"/>
      <c r="I57" s="3" t="s">
        <v>790</v>
      </c>
      <c r="J57" s="168">
        <v>45805</v>
      </c>
      <c r="K57" s="3" t="s">
        <v>710</v>
      </c>
      <c r="L57" s="4"/>
    </row>
    <row r="58" spans="1:12">
      <c r="A58" s="3"/>
      <c r="B58" s="3">
        <v>55</v>
      </c>
      <c r="C58" s="4" t="s">
        <v>623</v>
      </c>
      <c r="D58" s="57">
        <v>16104114</v>
      </c>
      <c r="E58" s="4"/>
      <c r="F58" s="65">
        <v>16507</v>
      </c>
      <c r="G58" s="4" t="s">
        <v>775</v>
      </c>
      <c r="H58" s="10"/>
      <c r="I58" s="3" t="s">
        <v>635</v>
      </c>
      <c r="J58" s="168">
        <v>45835</v>
      </c>
      <c r="K58" s="3" t="s">
        <v>653</v>
      </c>
      <c r="L58" s="4"/>
    </row>
    <row r="59" spans="1:12">
      <c r="A59" s="3"/>
      <c r="B59" s="3">
        <v>56</v>
      </c>
      <c r="C59" s="4" t="s">
        <v>623</v>
      </c>
      <c r="D59" s="57">
        <v>16104115</v>
      </c>
      <c r="E59" s="4"/>
      <c r="F59" s="65">
        <v>16455</v>
      </c>
      <c r="G59" s="4" t="s">
        <v>693</v>
      </c>
      <c r="H59" s="10"/>
      <c r="I59" s="3" t="s">
        <v>635</v>
      </c>
      <c r="J59" s="168">
        <v>45835</v>
      </c>
      <c r="K59" s="3" t="s">
        <v>653</v>
      </c>
      <c r="L59" s="4"/>
    </row>
    <row r="60" spans="1:12">
      <c r="A60" s="3"/>
      <c r="B60" s="3">
        <v>57</v>
      </c>
      <c r="C60" s="4" t="s">
        <v>623</v>
      </c>
      <c r="D60" s="57">
        <v>16104116</v>
      </c>
      <c r="E60" s="4"/>
      <c r="F60" s="65">
        <v>16456</v>
      </c>
      <c r="G60" s="4" t="s">
        <v>777</v>
      </c>
      <c r="H60" s="10"/>
      <c r="I60" s="3" t="s">
        <v>635</v>
      </c>
      <c r="J60" s="168">
        <v>45835</v>
      </c>
      <c r="K60" s="3" t="s">
        <v>653</v>
      </c>
      <c r="L60" s="4"/>
    </row>
    <row r="61" spans="1:12">
      <c r="A61" s="3"/>
      <c r="B61" s="3">
        <v>58</v>
      </c>
      <c r="C61" s="4" t="s">
        <v>623</v>
      </c>
      <c r="D61" s="57">
        <v>16104117</v>
      </c>
      <c r="E61" s="4"/>
      <c r="F61" s="65">
        <v>16724</v>
      </c>
      <c r="G61" s="4" t="s">
        <v>775</v>
      </c>
      <c r="H61" s="10"/>
      <c r="I61" s="3" t="s">
        <v>640</v>
      </c>
      <c r="J61" s="168">
        <v>45855</v>
      </c>
      <c r="K61" s="3" t="s">
        <v>653</v>
      </c>
      <c r="L61" s="4"/>
    </row>
    <row r="62" spans="1:12">
      <c r="A62" s="3"/>
      <c r="B62" s="3">
        <v>59</v>
      </c>
      <c r="C62" s="4" t="s">
        <v>623</v>
      </c>
      <c r="D62" s="57">
        <v>16104118</v>
      </c>
      <c r="E62" s="4"/>
      <c r="F62" s="65">
        <v>16725</v>
      </c>
      <c r="G62" s="4" t="s">
        <v>777</v>
      </c>
      <c r="H62" s="10"/>
      <c r="I62" s="3" t="s">
        <v>640</v>
      </c>
      <c r="J62" s="168">
        <v>45855</v>
      </c>
      <c r="K62" s="3" t="s">
        <v>653</v>
      </c>
      <c r="L62" s="4"/>
    </row>
    <row r="63" spans="1:12">
      <c r="A63" s="3"/>
      <c r="B63" s="3">
        <v>60</v>
      </c>
      <c r="C63" s="4" t="s">
        <v>623</v>
      </c>
      <c r="D63" s="57">
        <v>16104119</v>
      </c>
      <c r="E63" s="4"/>
      <c r="F63" s="65">
        <v>16638</v>
      </c>
      <c r="G63" s="4" t="s">
        <v>805</v>
      </c>
      <c r="H63" s="10"/>
      <c r="I63" s="3" t="s">
        <v>84</v>
      </c>
      <c r="J63" s="162" t="s">
        <v>802</v>
      </c>
      <c r="K63" s="3" t="s">
        <v>653</v>
      </c>
      <c r="L63" s="4"/>
    </row>
    <row r="64" spans="1:12">
      <c r="A64" s="3"/>
      <c r="B64" s="3">
        <v>61</v>
      </c>
      <c r="C64" s="4" t="s">
        <v>623</v>
      </c>
      <c r="D64" s="57">
        <v>16104120</v>
      </c>
      <c r="E64" s="4"/>
      <c r="F64" s="65">
        <v>16942</v>
      </c>
      <c r="G64" s="4" t="s">
        <v>805</v>
      </c>
      <c r="H64" s="10"/>
      <c r="I64" s="3" t="s">
        <v>85</v>
      </c>
      <c r="J64" s="168">
        <v>45889</v>
      </c>
      <c r="K64" s="3" t="s">
        <v>653</v>
      </c>
      <c r="L64" s="4"/>
    </row>
    <row r="65" spans="1:12">
      <c r="A65" s="3"/>
      <c r="B65" s="3">
        <v>62</v>
      </c>
      <c r="C65" s="4" t="s">
        <v>623</v>
      </c>
      <c r="D65" s="57">
        <v>16104121</v>
      </c>
      <c r="E65" s="4"/>
      <c r="F65" s="65">
        <v>17035</v>
      </c>
      <c r="G65" s="4" t="s">
        <v>777</v>
      </c>
      <c r="H65" s="10"/>
      <c r="I65" s="3" t="s">
        <v>85</v>
      </c>
      <c r="J65" s="168">
        <v>45889</v>
      </c>
      <c r="K65" s="3" t="s">
        <v>653</v>
      </c>
      <c r="L65" s="4"/>
    </row>
    <row r="66" spans="1:12">
      <c r="A66" s="3"/>
      <c r="B66" s="3">
        <v>63</v>
      </c>
      <c r="C66" s="4" t="s">
        <v>623</v>
      </c>
      <c r="D66" s="57">
        <v>16104122</v>
      </c>
      <c r="E66" s="4"/>
      <c r="F66" s="65">
        <v>17034</v>
      </c>
      <c r="G66" s="4" t="s">
        <v>775</v>
      </c>
      <c r="H66" s="10"/>
      <c r="I66" s="3" t="s">
        <v>85</v>
      </c>
      <c r="J66" s="168">
        <v>45889</v>
      </c>
      <c r="K66" s="3" t="s">
        <v>653</v>
      </c>
      <c r="L66" s="4"/>
    </row>
    <row r="67" spans="1:12">
      <c r="A67" s="3"/>
      <c r="B67" s="3">
        <v>64</v>
      </c>
      <c r="C67" s="4" t="s">
        <v>623</v>
      </c>
      <c r="D67" s="57">
        <v>16104123</v>
      </c>
      <c r="E67" s="4"/>
      <c r="F67" s="65">
        <v>17360</v>
      </c>
      <c r="G67" s="4" t="s">
        <v>775</v>
      </c>
      <c r="H67" s="10"/>
      <c r="I67" s="3" t="s">
        <v>481</v>
      </c>
      <c r="J67" s="168">
        <v>45918</v>
      </c>
      <c r="K67" s="3" t="s">
        <v>653</v>
      </c>
      <c r="L67" s="4"/>
    </row>
    <row r="68" spans="1:12">
      <c r="A68" s="3"/>
      <c r="B68" s="3">
        <v>65</v>
      </c>
      <c r="C68" s="4" t="s">
        <v>623</v>
      </c>
      <c r="D68" s="57">
        <v>16104124</v>
      </c>
      <c r="E68" s="4"/>
      <c r="F68" s="65">
        <v>17359</v>
      </c>
      <c r="G68" s="4" t="s">
        <v>777</v>
      </c>
      <c r="H68" s="10"/>
      <c r="I68" s="3" t="s">
        <v>481</v>
      </c>
      <c r="J68" s="168">
        <v>45918</v>
      </c>
      <c r="K68" s="3" t="s">
        <v>653</v>
      </c>
      <c r="L68" s="4"/>
    </row>
    <row r="69" spans="1:12">
      <c r="A69" s="3"/>
      <c r="B69" s="3">
        <v>66</v>
      </c>
      <c r="C69" s="4" t="s">
        <v>623</v>
      </c>
      <c r="D69" s="57">
        <v>16104125</v>
      </c>
      <c r="E69" s="4"/>
      <c r="F69" s="65">
        <v>17221</v>
      </c>
      <c r="G69" s="4" t="s">
        <v>805</v>
      </c>
      <c r="H69" s="10"/>
      <c r="I69" s="3" t="s">
        <v>481</v>
      </c>
      <c r="J69" s="168">
        <v>45918</v>
      </c>
      <c r="K69" s="3" t="s">
        <v>653</v>
      </c>
      <c r="L69" s="4" t="s">
        <v>841</v>
      </c>
    </row>
    <row r="70" spans="1:12">
      <c r="A70" s="3"/>
      <c r="B70" s="3">
        <v>67</v>
      </c>
      <c r="C70" s="4" t="s">
        <v>623</v>
      </c>
      <c r="D70" s="57">
        <v>16104126</v>
      </c>
      <c r="E70" s="4"/>
      <c r="F70" s="65">
        <v>17412</v>
      </c>
      <c r="G70" s="4" t="s">
        <v>832</v>
      </c>
      <c r="H70" s="10"/>
      <c r="I70" s="3" t="s">
        <v>481</v>
      </c>
      <c r="J70" s="168">
        <v>45929</v>
      </c>
      <c r="K70" s="3" t="s">
        <v>653</v>
      </c>
      <c r="L70" s="4"/>
    </row>
    <row r="71" spans="1:12">
      <c r="A71" s="3"/>
      <c r="B71" s="3">
        <v>68</v>
      </c>
      <c r="C71" s="4" t="s">
        <v>623</v>
      </c>
      <c r="D71" s="57">
        <v>16104127</v>
      </c>
      <c r="E71" s="4"/>
      <c r="F71" s="65">
        <v>17566</v>
      </c>
      <c r="G71" s="4" t="s">
        <v>775</v>
      </c>
      <c r="H71" s="10"/>
      <c r="I71" s="3" t="s">
        <v>842</v>
      </c>
      <c r="J71" s="168">
        <v>45951</v>
      </c>
      <c r="K71" s="3" t="s">
        <v>653</v>
      </c>
      <c r="L71" s="4"/>
    </row>
    <row r="72" spans="1:12">
      <c r="A72" s="3"/>
      <c r="B72" s="3">
        <v>69</v>
      </c>
      <c r="C72" s="4" t="s">
        <v>623</v>
      </c>
      <c r="D72" s="57">
        <v>16104128</v>
      </c>
      <c r="E72" s="4"/>
      <c r="F72" s="65">
        <v>17565</v>
      </c>
      <c r="G72" s="4" t="s">
        <v>777</v>
      </c>
      <c r="H72" s="10"/>
      <c r="I72" s="3" t="s">
        <v>842</v>
      </c>
      <c r="J72" s="168">
        <v>45951</v>
      </c>
      <c r="K72" s="3" t="s">
        <v>653</v>
      </c>
      <c r="L72" s="4"/>
    </row>
    <row r="73" spans="1:12">
      <c r="A73" s="3"/>
      <c r="B73" s="3">
        <v>64</v>
      </c>
      <c r="C73" s="4" t="s">
        <v>623</v>
      </c>
      <c r="D73" s="57">
        <v>16104129</v>
      </c>
      <c r="E73" s="4"/>
      <c r="F73" s="65">
        <v>17567</v>
      </c>
      <c r="G73" s="4" t="s">
        <v>832</v>
      </c>
      <c r="H73" s="10"/>
      <c r="I73" s="3" t="s">
        <v>842</v>
      </c>
      <c r="J73" s="168">
        <v>45951</v>
      </c>
      <c r="K73" s="3" t="s">
        <v>653</v>
      </c>
      <c r="L73" s="4"/>
    </row>
    <row r="74" spans="1:12">
      <c r="C74" s="4" t="s">
        <v>623</v>
      </c>
      <c r="D74" s="57">
        <v>16104130</v>
      </c>
      <c r="E74" s="4"/>
      <c r="F74" s="65">
        <v>17838</v>
      </c>
      <c r="G74" s="4" t="s">
        <v>775</v>
      </c>
      <c r="H74" s="10"/>
      <c r="I74" s="3" t="s">
        <v>515</v>
      </c>
      <c r="J74" s="168">
        <v>45975</v>
      </c>
      <c r="K74" s="3" t="s">
        <v>653</v>
      </c>
      <c r="L74" s="4"/>
    </row>
    <row r="75" spans="1:12">
      <c r="C75" s="4" t="s">
        <v>623</v>
      </c>
      <c r="D75" s="57">
        <v>16104131</v>
      </c>
      <c r="E75" s="4"/>
      <c r="F75" s="65">
        <v>17892</v>
      </c>
      <c r="G75" s="4" t="s">
        <v>832</v>
      </c>
      <c r="H75" s="10"/>
      <c r="I75" s="3" t="s">
        <v>515</v>
      </c>
      <c r="J75" s="168">
        <v>45978</v>
      </c>
      <c r="K75" s="3" t="s">
        <v>653</v>
      </c>
      <c r="L75" s="4"/>
    </row>
    <row r="76" spans="1:12">
      <c r="C76" s="4" t="s">
        <v>623</v>
      </c>
      <c r="D76" s="57">
        <v>16104132</v>
      </c>
      <c r="E76" s="4"/>
      <c r="F76" s="65">
        <v>17965</v>
      </c>
      <c r="G76" s="4" t="s">
        <v>777</v>
      </c>
      <c r="H76" s="10"/>
      <c r="I76" s="3" t="s">
        <v>515</v>
      </c>
      <c r="J76" s="168">
        <v>45986</v>
      </c>
      <c r="K76" s="3" t="s">
        <v>653</v>
      </c>
      <c r="L76" s="4"/>
    </row>
    <row r="77" spans="1:12">
      <c r="C77" s="4" t="s">
        <v>623</v>
      </c>
      <c r="D77" s="57">
        <v>16104133</v>
      </c>
      <c r="E77" s="4"/>
      <c r="F77" s="65">
        <v>18140</v>
      </c>
      <c r="G77" s="4" t="s">
        <v>775</v>
      </c>
      <c r="H77" s="10"/>
      <c r="I77" s="3" t="s">
        <v>505</v>
      </c>
      <c r="J77" s="168">
        <v>46008</v>
      </c>
      <c r="K77" s="3" t="s">
        <v>653</v>
      </c>
      <c r="L77" s="4"/>
    </row>
    <row r="78" spans="1:12">
      <c r="C78" s="4" t="s">
        <v>623</v>
      </c>
      <c r="D78" s="57">
        <v>16104134</v>
      </c>
      <c r="E78" s="4"/>
      <c r="F78" s="65">
        <v>18218</v>
      </c>
      <c r="G78" s="4" t="s">
        <v>832</v>
      </c>
      <c r="H78" s="10"/>
      <c r="I78" s="3" t="s">
        <v>505</v>
      </c>
      <c r="J78" s="168">
        <v>46008</v>
      </c>
      <c r="K78" s="3" t="s">
        <v>653</v>
      </c>
      <c r="L78" s="4"/>
    </row>
    <row r="79" spans="1:12">
      <c r="C79" s="4" t="s">
        <v>623</v>
      </c>
      <c r="D79" s="57">
        <v>16104135</v>
      </c>
      <c r="E79" s="4"/>
      <c r="F79" s="65">
        <v>18141</v>
      </c>
      <c r="G79" s="4" t="s">
        <v>777</v>
      </c>
      <c r="H79" s="10"/>
      <c r="I79" s="3" t="s">
        <v>505</v>
      </c>
      <c r="J79" s="168">
        <v>46008</v>
      </c>
      <c r="K79" s="3" t="s">
        <v>653</v>
      </c>
      <c r="L79" s="4"/>
    </row>
    <row r="80" spans="1:12">
      <c r="C80" s="4"/>
      <c r="D80" s="57">
        <v>16104136</v>
      </c>
      <c r="E80" s="4"/>
      <c r="F80" s="65"/>
      <c r="G80" s="4"/>
      <c r="H80" s="10"/>
      <c r="I80" s="3"/>
      <c r="J80" s="168"/>
      <c r="K80" s="3"/>
      <c r="L80" s="4"/>
    </row>
    <row r="81" spans="3:12">
      <c r="C81" s="4"/>
      <c r="D81" s="57">
        <v>16104137</v>
      </c>
      <c r="E81" s="4"/>
      <c r="F81" s="65"/>
      <c r="G81" s="4"/>
      <c r="H81" s="10"/>
      <c r="I81" s="3"/>
      <c r="J81" s="168"/>
      <c r="K81" s="3"/>
      <c r="L81" s="4"/>
    </row>
    <row r="82" spans="3:12">
      <c r="C82" s="4"/>
      <c r="D82" s="57">
        <v>16104138</v>
      </c>
      <c r="E82" s="4"/>
      <c r="F82" s="65"/>
      <c r="G82" s="4"/>
      <c r="H82" s="10"/>
      <c r="I82" s="3"/>
      <c r="J82" s="168"/>
      <c r="K82" s="3"/>
      <c r="L82" s="4"/>
    </row>
    <row r="83" spans="3:12">
      <c r="C83" s="4"/>
      <c r="D83" s="57">
        <v>16104139</v>
      </c>
      <c r="E83" s="4"/>
      <c r="F83" s="65"/>
      <c r="G83" s="4"/>
      <c r="H83" s="10"/>
      <c r="I83" s="3"/>
      <c r="J83" s="168"/>
      <c r="K83" s="3"/>
      <c r="L83" s="4"/>
    </row>
    <row r="84" spans="3:12">
      <c r="D84" s="57">
        <v>16104140</v>
      </c>
    </row>
  </sheetData>
  <autoFilter ref="A3:K5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12" priority="1" operator="containsText" text="見積！">
      <formula>NOT(ISERROR(SEARCH("見積！",A1)))</formula>
    </cfRule>
  </conditionalFormatting>
  <conditionalFormatting sqref="A4:A1048576">
    <cfRule type="containsText" dxfId="111" priority="4" operator="containsText" text="着手">
      <formula>NOT(ISERROR(SEARCH("着手",A4)))</formula>
    </cfRule>
    <cfRule type="containsText" dxfId="110" priority="5" operator="containsText" text="見積完了">
      <formula>NOT(ISERROR(SEARCH("見積完了",A4)))</formula>
    </cfRule>
    <cfRule type="containsText" dxfId="109" priority="6" operator="containsText" text="中止">
      <formula>NOT(ISERROR(SEARCH("中止",A4)))</formula>
    </cfRule>
    <cfRule type="containsText" dxfId="108" priority="7" operator="containsText" text="保留">
      <formula>NOT(ISERROR(SEARCH("保留",A4)))</formula>
    </cfRule>
    <cfRule type="containsText" dxfId="107" priority="8" operator="containsText" text="進行中">
      <formula>NOT(ISERROR(SEARCH("進行中",A4)))</formula>
    </cfRule>
    <cfRule type="containsText" dxfId="106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G2:G1048576 C1:C1048576 K1:L1048576 I1:I1048576" xr:uid="{030181C8-A2F7-4B65-ABF1-4A9C7A82926F}"/>
    <dataValidation imeMode="off" allowBlank="1" showInputMessage="1" showErrorMessage="1" sqref="G1 H1:H1048576 B1:B1048576 D1:F1048576 J1:J1048576" xr:uid="{D30E39B1-804E-485A-830E-440C90EAA390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E58E8D-768B-474D-8DF9-4C52E7BFCD33}">
          <x14:formula1>
            <xm:f>タスク!$B$3:$B$14</xm:f>
          </x14:formula1>
          <xm:sqref>A4:A1048576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7CA9-26F9-494E-BF34-C65853F8F344}">
  <sheetPr codeName="Sheet12">
    <pageSetUpPr fitToPage="1"/>
  </sheetPr>
  <dimension ref="A1:M255"/>
  <sheetViews>
    <sheetView zoomScale="115" zoomScaleNormal="115" workbookViewId="0">
      <pane ySplit="3" topLeftCell="A170" activePane="bottomLeft" state="frozen"/>
      <selection activeCell="A11" sqref="A11"/>
      <selection pane="bottomLeft" activeCell="A94" sqref="A94:XFD16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175</v>
      </c>
      <c r="D4" s="56">
        <v>16119078</v>
      </c>
      <c r="E4" s="4" t="s">
        <v>176</v>
      </c>
      <c r="F4" s="65" t="s">
        <v>177</v>
      </c>
      <c r="G4" s="4" t="s">
        <v>178</v>
      </c>
      <c r="H4" s="10"/>
      <c r="I4" s="3" t="s">
        <v>33</v>
      </c>
      <c r="J4" s="1">
        <v>44923</v>
      </c>
      <c r="K4" s="3" t="s">
        <v>34</v>
      </c>
    </row>
    <row r="5" spans="1:13" hidden="1">
      <c r="A5" s="17" t="s">
        <v>28</v>
      </c>
      <c r="B5" s="3">
        <v>2</v>
      </c>
      <c r="C5" s="4" t="s">
        <v>175</v>
      </c>
      <c r="D5" s="56">
        <v>16119079</v>
      </c>
      <c r="E5" s="4" t="s">
        <v>179</v>
      </c>
      <c r="F5" s="65" t="s">
        <v>180</v>
      </c>
      <c r="G5" s="4" t="s">
        <v>181</v>
      </c>
      <c r="H5" s="10"/>
      <c r="I5" s="3" t="s">
        <v>33</v>
      </c>
      <c r="J5" s="1">
        <v>44923</v>
      </c>
      <c r="K5" s="3" t="s">
        <v>34</v>
      </c>
    </row>
    <row r="6" spans="1:13" hidden="1">
      <c r="A6" s="17" t="s">
        <v>28</v>
      </c>
      <c r="B6" s="3">
        <v>3</v>
      </c>
      <c r="C6" s="4" t="s">
        <v>175</v>
      </c>
      <c r="D6" s="56">
        <v>16119080</v>
      </c>
      <c r="E6" s="4" t="s">
        <v>182</v>
      </c>
      <c r="F6" s="65" t="s">
        <v>183</v>
      </c>
      <c r="G6" s="4" t="s">
        <v>184</v>
      </c>
      <c r="H6" s="10"/>
      <c r="I6" s="3" t="s">
        <v>33</v>
      </c>
      <c r="J6" s="1">
        <v>44923</v>
      </c>
      <c r="K6" s="3" t="s">
        <v>34</v>
      </c>
    </row>
    <row r="7" spans="1:13" hidden="1">
      <c r="A7" s="17" t="s">
        <v>28</v>
      </c>
      <c r="B7" s="3">
        <v>4</v>
      </c>
      <c r="C7" s="4" t="s">
        <v>175</v>
      </c>
      <c r="D7" s="56">
        <v>16119081</v>
      </c>
      <c r="E7" s="4" t="s">
        <v>185</v>
      </c>
      <c r="F7" s="65" t="s">
        <v>186</v>
      </c>
      <c r="G7" s="4" t="s">
        <v>187</v>
      </c>
      <c r="H7" s="10"/>
      <c r="I7" s="3" t="s">
        <v>33</v>
      </c>
      <c r="J7" s="1">
        <v>44923</v>
      </c>
      <c r="K7" s="3" t="s">
        <v>34</v>
      </c>
    </row>
    <row r="8" spans="1:13" hidden="1">
      <c r="A8" s="17" t="s">
        <v>28</v>
      </c>
      <c r="B8" s="3">
        <v>5</v>
      </c>
      <c r="C8" s="4" t="s">
        <v>175</v>
      </c>
      <c r="D8" s="56">
        <v>16119082</v>
      </c>
      <c r="E8" s="4" t="s">
        <v>188</v>
      </c>
      <c r="F8" s="65" t="s">
        <v>189</v>
      </c>
      <c r="G8" s="4" t="s">
        <v>190</v>
      </c>
      <c r="H8" s="10"/>
      <c r="I8" s="3" t="s">
        <v>33</v>
      </c>
      <c r="J8" s="1">
        <v>44923</v>
      </c>
      <c r="K8" s="3" t="s">
        <v>34</v>
      </c>
    </row>
    <row r="9" spans="1:13" hidden="1">
      <c r="A9" s="17" t="s">
        <v>28</v>
      </c>
      <c r="B9" s="3">
        <v>6</v>
      </c>
      <c r="C9" s="4" t="s">
        <v>175</v>
      </c>
      <c r="D9" s="56">
        <v>16119083</v>
      </c>
      <c r="E9" s="4" t="s">
        <v>191</v>
      </c>
      <c r="F9" s="65">
        <v>8164</v>
      </c>
      <c r="G9" s="4" t="s">
        <v>53</v>
      </c>
      <c r="H9" s="10"/>
      <c r="I9" s="3" t="s">
        <v>33</v>
      </c>
      <c r="J9" s="1">
        <v>44923</v>
      </c>
      <c r="K9" s="3" t="s">
        <v>34</v>
      </c>
    </row>
    <row r="10" spans="1:13" hidden="1">
      <c r="A10" s="17" t="s">
        <v>28</v>
      </c>
      <c r="B10" s="3">
        <v>7</v>
      </c>
      <c r="C10" s="4" t="s">
        <v>175</v>
      </c>
      <c r="D10" s="56">
        <v>16119084</v>
      </c>
      <c r="E10" s="4" t="s">
        <v>192</v>
      </c>
      <c r="F10" s="65">
        <v>8034</v>
      </c>
      <c r="G10" s="4" t="s">
        <v>193</v>
      </c>
      <c r="H10" s="10"/>
      <c r="I10" s="3" t="s">
        <v>33</v>
      </c>
      <c r="J10" s="1">
        <v>44923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175</v>
      </c>
      <c r="D11" s="56">
        <v>16119085</v>
      </c>
      <c r="E11" s="4" t="s">
        <v>194</v>
      </c>
      <c r="F11" s="65">
        <v>8037</v>
      </c>
      <c r="G11" s="4" t="s">
        <v>195</v>
      </c>
      <c r="H11" s="10"/>
      <c r="I11" s="3" t="s">
        <v>33</v>
      </c>
      <c r="J11" s="1">
        <v>44923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175</v>
      </c>
      <c r="D12" s="56">
        <v>16119086</v>
      </c>
      <c r="E12" s="4" t="s">
        <v>196</v>
      </c>
      <c r="F12" s="65">
        <v>8033</v>
      </c>
      <c r="G12" s="4" t="s">
        <v>197</v>
      </c>
      <c r="H12" s="10"/>
      <c r="I12" s="3" t="s">
        <v>50</v>
      </c>
      <c r="J12" s="1">
        <v>44923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175</v>
      </c>
      <c r="D13" s="56">
        <v>16119087</v>
      </c>
      <c r="E13" s="4" t="s">
        <v>198</v>
      </c>
      <c r="F13" s="65">
        <v>8078</v>
      </c>
      <c r="G13" s="4" t="s">
        <v>199</v>
      </c>
      <c r="H13" s="10"/>
      <c r="I13" s="3" t="s">
        <v>50</v>
      </c>
      <c r="J13" s="1">
        <v>44923</v>
      </c>
      <c r="K13" s="3" t="s">
        <v>34</v>
      </c>
    </row>
    <row r="14" spans="1:13" hidden="1">
      <c r="A14" s="17" t="s">
        <v>28</v>
      </c>
      <c r="B14" s="3">
        <v>11</v>
      </c>
      <c r="C14" s="4" t="s">
        <v>175</v>
      </c>
      <c r="D14" s="56">
        <v>16119088</v>
      </c>
      <c r="E14" s="4" t="s">
        <v>200</v>
      </c>
      <c r="F14" s="65">
        <v>8298</v>
      </c>
      <c r="G14" s="4" t="s">
        <v>201</v>
      </c>
      <c r="H14" s="10"/>
      <c r="I14" s="3" t="s">
        <v>50</v>
      </c>
      <c r="J14" s="1">
        <v>44923</v>
      </c>
      <c r="K14" s="3" t="s">
        <v>34</v>
      </c>
    </row>
    <row r="15" spans="1:13" hidden="1">
      <c r="A15" s="17" t="s">
        <v>28</v>
      </c>
      <c r="B15" s="3">
        <v>12</v>
      </c>
      <c r="C15" s="4" t="s">
        <v>175</v>
      </c>
      <c r="D15" s="56">
        <v>16119089</v>
      </c>
      <c r="E15" s="4" t="s">
        <v>202</v>
      </c>
      <c r="F15" s="65">
        <v>8081</v>
      </c>
      <c r="G15" s="4" t="s">
        <v>203</v>
      </c>
      <c r="H15" s="10"/>
      <c r="I15" s="3" t="s">
        <v>50</v>
      </c>
      <c r="J15" s="1">
        <v>44923</v>
      </c>
      <c r="K15" s="3" t="s">
        <v>34</v>
      </c>
    </row>
    <row r="16" spans="1:13" hidden="1">
      <c r="A16" s="17" t="s">
        <v>28</v>
      </c>
      <c r="B16" s="3">
        <v>13</v>
      </c>
      <c r="C16" s="4" t="s">
        <v>175</v>
      </c>
      <c r="D16" s="56">
        <v>16119090</v>
      </c>
      <c r="E16" s="4" t="s">
        <v>204</v>
      </c>
      <c r="F16" s="65">
        <v>8368</v>
      </c>
      <c r="G16" s="4" t="s">
        <v>205</v>
      </c>
      <c r="H16" s="10"/>
      <c r="I16" s="3" t="s">
        <v>74</v>
      </c>
      <c r="J16" s="1">
        <v>44965</v>
      </c>
      <c r="K16" s="3" t="s">
        <v>34</v>
      </c>
    </row>
    <row r="17" spans="1:11" hidden="1">
      <c r="A17" s="17" t="s">
        <v>28</v>
      </c>
      <c r="B17" s="3">
        <v>14</v>
      </c>
      <c r="C17" s="4" t="s">
        <v>175</v>
      </c>
      <c r="D17" s="56">
        <v>16119091</v>
      </c>
      <c r="E17" s="4" t="s">
        <v>206</v>
      </c>
      <c r="F17" s="65">
        <v>8321</v>
      </c>
      <c r="G17" s="4" t="s">
        <v>190</v>
      </c>
      <c r="H17" s="10"/>
      <c r="I17" s="3" t="s">
        <v>74</v>
      </c>
      <c r="J17" s="1">
        <v>44965</v>
      </c>
      <c r="K17" s="3" t="s">
        <v>34</v>
      </c>
    </row>
    <row r="18" spans="1:11" hidden="1">
      <c r="A18" s="17" t="s">
        <v>28</v>
      </c>
      <c r="B18" s="3">
        <v>15</v>
      </c>
      <c r="C18" s="4" t="s">
        <v>175</v>
      </c>
      <c r="D18" s="56">
        <v>16119092</v>
      </c>
      <c r="E18" s="4" t="s">
        <v>207</v>
      </c>
      <c r="F18" s="65">
        <v>8291</v>
      </c>
      <c r="G18" s="4" t="s">
        <v>53</v>
      </c>
      <c r="H18" s="10"/>
      <c r="I18" s="3" t="s">
        <v>74</v>
      </c>
      <c r="J18" s="1">
        <v>44965</v>
      </c>
      <c r="K18" s="3" t="s">
        <v>34</v>
      </c>
    </row>
    <row r="19" spans="1:11" hidden="1">
      <c r="A19" s="17" t="s">
        <v>28</v>
      </c>
      <c r="B19" s="3">
        <v>16</v>
      </c>
      <c r="C19" s="4" t="s">
        <v>175</v>
      </c>
      <c r="D19" s="56">
        <v>16119093</v>
      </c>
      <c r="E19" s="4" t="s">
        <v>208</v>
      </c>
      <c r="F19" s="65">
        <v>8382</v>
      </c>
      <c r="G19" s="4" t="s">
        <v>193</v>
      </c>
      <c r="H19" s="10"/>
      <c r="I19" s="3" t="s">
        <v>74</v>
      </c>
      <c r="J19" s="1">
        <v>44965</v>
      </c>
      <c r="K19" s="3" t="s">
        <v>34</v>
      </c>
    </row>
    <row r="20" spans="1:11" hidden="1">
      <c r="A20" s="17" t="s">
        <v>28</v>
      </c>
      <c r="B20" s="3">
        <v>17</v>
      </c>
      <c r="C20" s="4" t="s">
        <v>175</v>
      </c>
      <c r="D20" s="56">
        <v>16119094</v>
      </c>
      <c r="E20" s="4" t="s">
        <v>209</v>
      </c>
      <c r="F20" s="65">
        <v>8380</v>
      </c>
      <c r="G20" s="4" t="s">
        <v>195</v>
      </c>
      <c r="H20" s="10"/>
      <c r="I20" s="3" t="s">
        <v>74</v>
      </c>
      <c r="J20" s="1">
        <v>44965</v>
      </c>
      <c r="K20" s="3" t="s">
        <v>34</v>
      </c>
    </row>
    <row r="21" spans="1:11" hidden="1">
      <c r="A21" s="17" t="s">
        <v>28</v>
      </c>
      <c r="B21" s="3">
        <v>18</v>
      </c>
      <c r="C21" s="4" t="s">
        <v>175</v>
      </c>
      <c r="D21" s="56">
        <v>16119095</v>
      </c>
      <c r="E21" s="4" t="s">
        <v>210</v>
      </c>
      <c r="F21" s="65">
        <v>8383</v>
      </c>
      <c r="G21" s="4" t="s">
        <v>197</v>
      </c>
      <c r="H21" s="10"/>
      <c r="I21" s="3" t="s">
        <v>74</v>
      </c>
      <c r="J21" s="1">
        <v>44965</v>
      </c>
      <c r="K21" s="3" t="s">
        <v>34</v>
      </c>
    </row>
    <row r="22" spans="1:11" hidden="1">
      <c r="A22" s="17" t="s">
        <v>28</v>
      </c>
      <c r="B22" s="3">
        <v>19</v>
      </c>
      <c r="C22" s="4" t="s">
        <v>175</v>
      </c>
      <c r="D22" s="56">
        <v>16119096</v>
      </c>
      <c r="E22" s="4" t="s">
        <v>211</v>
      </c>
      <c r="F22" s="65">
        <v>8410</v>
      </c>
      <c r="G22" s="4" t="s">
        <v>199</v>
      </c>
      <c r="H22" s="10"/>
      <c r="I22" s="3" t="s">
        <v>74</v>
      </c>
      <c r="J22" s="1">
        <v>44965</v>
      </c>
      <c r="K22" s="3" t="s">
        <v>34</v>
      </c>
    </row>
    <row r="23" spans="1:11" hidden="1">
      <c r="A23" s="17" t="s">
        <v>28</v>
      </c>
      <c r="B23" s="3">
        <v>20</v>
      </c>
      <c r="C23" s="4" t="s">
        <v>175</v>
      </c>
      <c r="D23" s="56">
        <v>16119097</v>
      </c>
      <c r="E23" s="4" t="s">
        <v>212</v>
      </c>
      <c r="F23" s="65">
        <v>8369</v>
      </c>
      <c r="G23" s="4" t="s">
        <v>203</v>
      </c>
      <c r="H23" s="10"/>
      <c r="I23" s="3" t="s">
        <v>74</v>
      </c>
      <c r="J23" s="1">
        <v>44965</v>
      </c>
      <c r="K23" s="3" t="s">
        <v>34</v>
      </c>
    </row>
    <row r="24" spans="1:11" hidden="1">
      <c r="A24" s="17" t="s">
        <v>28</v>
      </c>
      <c r="B24" s="3">
        <v>21</v>
      </c>
      <c r="C24" s="4" t="s">
        <v>175</v>
      </c>
      <c r="D24" s="56">
        <v>16119098</v>
      </c>
      <c r="E24" s="4" t="s">
        <v>213</v>
      </c>
      <c r="F24" s="65">
        <v>8511</v>
      </c>
      <c r="G24" s="4" t="s">
        <v>181</v>
      </c>
      <c r="H24" s="10"/>
      <c r="I24" s="3" t="s">
        <v>74</v>
      </c>
      <c r="J24" s="1">
        <v>44960</v>
      </c>
      <c r="K24" s="3" t="s">
        <v>34</v>
      </c>
    </row>
    <row r="25" spans="1:11" hidden="1">
      <c r="A25" s="17" t="s">
        <v>28</v>
      </c>
      <c r="B25" s="3">
        <v>22</v>
      </c>
      <c r="C25" s="4" t="s">
        <v>175</v>
      </c>
      <c r="D25" s="56">
        <v>16119099</v>
      </c>
      <c r="E25" s="4" t="s">
        <v>214</v>
      </c>
      <c r="F25" s="65">
        <v>8512</v>
      </c>
      <c r="G25" s="4" t="s">
        <v>187</v>
      </c>
      <c r="H25" s="10"/>
      <c r="I25" s="3" t="s">
        <v>74</v>
      </c>
      <c r="J25" s="1">
        <v>44960</v>
      </c>
      <c r="K25" s="3" t="s">
        <v>34</v>
      </c>
    </row>
    <row r="26" spans="1:11" hidden="1">
      <c r="A26" s="17" t="s">
        <v>28</v>
      </c>
      <c r="B26" s="3">
        <v>23</v>
      </c>
      <c r="C26" s="4" t="s">
        <v>175</v>
      </c>
      <c r="D26" s="56">
        <v>16119100</v>
      </c>
      <c r="E26" s="4"/>
      <c r="F26" s="65">
        <v>8599</v>
      </c>
      <c r="G26" s="4" t="s">
        <v>205</v>
      </c>
      <c r="H26" s="10"/>
      <c r="I26" s="3" t="s">
        <v>79</v>
      </c>
      <c r="J26" s="1">
        <v>44994</v>
      </c>
      <c r="K26" s="3" t="s">
        <v>34</v>
      </c>
    </row>
    <row r="27" spans="1:11" hidden="1">
      <c r="A27" s="17" t="s">
        <v>28</v>
      </c>
      <c r="B27" s="3">
        <v>24</v>
      </c>
      <c r="C27" s="4" t="s">
        <v>175</v>
      </c>
      <c r="D27" s="56">
        <v>16119101</v>
      </c>
      <c r="E27" s="4"/>
      <c r="F27" s="65">
        <v>8634</v>
      </c>
      <c r="G27" s="4" t="s">
        <v>190</v>
      </c>
      <c r="H27" s="10"/>
      <c r="I27" s="3" t="s">
        <v>79</v>
      </c>
      <c r="J27" s="1">
        <v>44994</v>
      </c>
      <c r="K27" s="3" t="s">
        <v>34</v>
      </c>
    </row>
    <row r="28" spans="1:11" hidden="1">
      <c r="A28" s="17" t="s">
        <v>28</v>
      </c>
      <c r="B28" s="3">
        <v>25</v>
      </c>
      <c r="C28" s="4" t="s">
        <v>175</v>
      </c>
      <c r="D28" s="56">
        <v>16119102</v>
      </c>
      <c r="E28" s="4"/>
      <c r="F28" s="65">
        <v>8635</v>
      </c>
      <c r="G28" s="4" t="s">
        <v>53</v>
      </c>
      <c r="H28" s="10"/>
      <c r="I28" s="3" t="s">
        <v>79</v>
      </c>
      <c r="J28" s="1">
        <v>44994</v>
      </c>
      <c r="K28" s="3" t="s">
        <v>34</v>
      </c>
    </row>
    <row r="29" spans="1:11" hidden="1">
      <c r="A29" s="17" t="s">
        <v>28</v>
      </c>
      <c r="B29" s="3">
        <v>26</v>
      </c>
      <c r="C29" s="4" t="s">
        <v>175</v>
      </c>
      <c r="D29" s="56">
        <v>16119103</v>
      </c>
      <c r="E29" s="4"/>
      <c r="F29" s="65">
        <v>8648</v>
      </c>
      <c r="G29" s="4" t="s">
        <v>195</v>
      </c>
      <c r="H29" s="10"/>
      <c r="I29" s="3" t="s">
        <v>79</v>
      </c>
      <c r="J29" s="1">
        <v>44994</v>
      </c>
      <c r="K29" s="3" t="s">
        <v>34</v>
      </c>
    </row>
    <row r="30" spans="1:11" hidden="1">
      <c r="A30" s="17" t="s">
        <v>28</v>
      </c>
      <c r="B30" s="3">
        <v>27</v>
      </c>
      <c r="C30" s="4" t="s">
        <v>175</v>
      </c>
      <c r="D30" s="56">
        <v>16119104</v>
      </c>
      <c r="E30" s="4"/>
      <c r="F30" s="65">
        <v>8664</v>
      </c>
      <c r="G30" s="4" t="s">
        <v>203</v>
      </c>
      <c r="H30" s="10"/>
      <c r="I30" s="3" t="s">
        <v>79</v>
      </c>
      <c r="J30" s="1">
        <v>44994</v>
      </c>
      <c r="K30" s="3" t="s">
        <v>34</v>
      </c>
    </row>
    <row r="31" spans="1:11" hidden="1">
      <c r="A31" s="17" t="s">
        <v>28</v>
      </c>
      <c r="B31" s="3">
        <v>28</v>
      </c>
      <c r="C31" s="4" t="s">
        <v>175</v>
      </c>
      <c r="D31" s="56">
        <v>16119105</v>
      </c>
      <c r="E31" s="4" t="s">
        <v>215</v>
      </c>
      <c r="F31" s="65">
        <v>8687</v>
      </c>
      <c r="G31" s="4" t="s">
        <v>193</v>
      </c>
      <c r="H31" s="10"/>
      <c r="I31" s="3" t="s">
        <v>38</v>
      </c>
      <c r="J31" s="1">
        <v>44984</v>
      </c>
      <c r="K31" s="3" t="s">
        <v>34</v>
      </c>
    </row>
    <row r="32" spans="1:11" hidden="1">
      <c r="A32" s="17" t="s">
        <v>28</v>
      </c>
      <c r="B32" s="3">
        <v>29</v>
      </c>
      <c r="C32" s="4" t="s">
        <v>175</v>
      </c>
      <c r="D32" s="56">
        <v>16119106</v>
      </c>
      <c r="E32" s="4" t="s">
        <v>216</v>
      </c>
      <c r="F32" s="65">
        <v>8706</v>
      </c>
      <c r="G32" s="4" t="s">
        <v>197</v>
      </c>
      <c r="H32" s="10"/>
      <c r="I32" s="3" t="s">
        <v>38</v>
      </c>
      <c r="J32" s="1">
        <v>44984</v>
      </c>
      <c r="K32" s="3" t="s">
        <v>34</v>
      </c>
    </row>
    <row r="33" spans="1:11" hidden="1">
      <c r="A33" s="17" t="s">
        <v>28</v>
      </c>
      <c r="B33" s="3">
        <v>30</v>
      </c>
      <c r="C33" s="4" t="s">
        <v>175</v>
      </c>
      <c r="D33" s="56">
        <v>16119107</v>
      </c>
      <c r="E33" s="4"/>
      <c r="F33" s="65">
        <v>8719</v>
      </c>
      <c r="G33" s="4" t="s">
        <v>199</v>
      </c>
      <c r="H33" s="10"/>
      <c r="I33" s="3" t="s">
        <v>38</v>
      </c>
      <c r="J33" s="1">
        <v>44994</v>
      </c>
      <c r="K33" s="3" t="s">
        <v>34</v>
      </c>
    </row>
    <row r="34" spans="1:11" hidden="1">
      <c r="A34" s="17" t="s">
        <v>28</v>
      </c>
      <c r="B34" s="3">
        <v>31</v>
      </c>
      <c r="C34" s="4" t="s">
        <v>175</v>
      </c>
      <c r="D34" s="56">
        <v>16119108</v>
      </c>
      <c r="E34" s="4"/>
      <c r="F34" s="65">
        <v>857</v>
      </c>
      <c r="G34" s="4" t="s">
        <v>181</v>
      </c>
      <c r="H34" s="10"/>
      <c r="I34" s="3" t="s">
        <v>217</v>
      </c>
      <c r="J34" s="1">
        <v>44994</v>
      </c>
      <c r="K34" s="3" t="s">
        <v>34</v>
      </c>
    </row>
    <row r="35" spans="1:11" hidden="1">
      <c r="A35" s="17" t="s">
        <v>28</v>
      </c>
      <c r="B35" s="3">
        <v>32</v>
      </c>
      <c r="C35" s="4" t="s">
        <v>175</v>
      </c>
      <c r="D35" s="56">
        <v>16119109</v>
      </c>
      <c r="E35" s="4"/>
      <c r="F35" s="65">
        <v>856</v>
      </c>
      <c r="G35" s="4" t="s">
        <v>187</v>
      </c>
      <c r="H35" s="10"/>
      <c r="I35" s="3" t="s">
        <v>217</v>
      </c>
      <c r="J35" s="1">
        <v>44994</v>
      </c>
      <c r="K35" s="3" t="s">
        <v>34</v>
      </c>
    </row>
    <row r="36" spans="1:11" hidden="1">
      <c r="A36" s="17" t="s">
        <v>28</v>
      </c>
      <c r="B36" s="3">
        <v>33</v>
      </c>
      <c r="C36" s="4" t="s">
        <v>175</v>
      </c>
      <c r="D36" s="56">
        <v>16119110</v>
      </c>
      <c r="E36" s="4"/>
      <c r="F36" s="65">
        <v>8863</v>
      </c>
      <c r="G36" s="4" t="s">
        <v>178</v>
      </c>
      <c r="H36" s="10"/>
      <c r="I36" s="3" t="s">
        <v>80</v>
      </c>
      <c r="J36" s="1">
        <v>45016</v>
      </c>
      <c r="K36" s="3" t="s">
        <v>34</v>
      </c>
    </row>
    <row r="37" spans="1:11" hidden="1">
      <c r="A37" s="17" t="s">
        <v>28</v>
      </c>
      <c r="B37" s="3">
        <v>34</v>
      </c>
      <c r="C37" s="4" t="s">
        <v>175</v>
      </c>
      <c r="D37" s="56">
        <v>16119111</v>
      </c>
      <c r="E37" s="4"/>
      <c r="F37" s="65">
        <v>8827</v>
      </c>
      <c r="G37" s="4" t="s">
        <v>181</v>
      </c>
      <c r="H37" s="10"/>
      <c r="I37" s="3" t="s">
        <v>80</v>
      </c>
      <c r="J37" s="1">
        <v>45016</v>
      </c>
      <c r="K37" s="3" t="s">
        <v>34</v>
      </c>
    </row>
    <row r="38" spans="1:11" hidden="1">
      <c r="A38" s="17" t="s">
        <v>28</v>
      </c>
      <c r="B38" s="3">
        <v>35</v>
      </c>
      <c r="C38" s="4" t="s">
        <v>175</v>
      </c>
      <c r="D38" s="56">
        <v>16119112</v>
      </c>
      <c r="E38" s="4"/>
      <c r="F38" s="65">
        <v>8951</v>
      </c>
      <c r="G38" s="4" t="s">
        <v>53</v>
      </c>
      <c r="H38" s="10"/>
      <c r="I38" s="3" t="s">
        <v>80</v>
      </c>
      <c r="J38" s="1">
        <v>45016</v>
      </c>
      <c r="K38" s="3" t="s">
        <v>34</v>
      </c>
    </row>
    <row r="39" spans="1:11" hidden="1">
      <c r="A39" s="17" t="s">
        <v>28</v>
      </c>
      <c r="B39" s="3">
        <v>36</v>
      </c>
      <c r="C39" s="4" t="s">
        <v>175</v>
      </c>
      <c r="D39" s="56">
        <v>16119113</v>
      </c>
      <c r="E39" s="4"/>
      <c r="F39" s="65">
        <v>8843</v>
      </c>
      <c r="G39" s="4" t="s">
        <v>193</v>
      </c>
      <c r="H39" s="10"/>
      <c r="I39" s="3" t="s">
        <v>80</v>
      </c>
      <c r="J39" s="1">
        <v>45016</v>
      </c>
      <c r="K39" s="3" t="s">
        <v>34</v>
      </c>
    </row>
    <row r="40" spans="1:11" hidden="1">
      <c r="A40" s="17" t="s">
        <v>28</v>
      </c>
      <c r="B40" s="3">
        <v>37</v>
      </c>
      <c r="C40" s="4" t="s">
        <v>175</v>
      </c>
      <c r="D40" s="56">
        <v>16119114</v>
      </c>
      <c r="E40" s="4"/>
      <c r="F40" s="65">
        <v>8881</v>
      </c>
      <c r="G40" s="4" t="s">
        <v>203</v>
      </c>
      <c r="H40" s="10"/>
      <c r="I40" s="3" t="s">
        <v>80</v>
      </c>
      <c r="J40" s="1">
        <v>45016</v>
      </c>
      <c r="K40" s="3" t="s">
        <v>34</v>
      </c>
    </row>
    <row r="41" spans="1:11" hidden="1">
      <c r="A41" s="17" t="s">
        <v>28</v>
      </c>
      <c r="B41" s="3">
        <v>38</v>
      </c>
      <c r="C41" s="4" t="s">
        <v>175</v>
      </c>
      <c r="D41" s="56">
        <v>16119115</v>
      </c>
      <c r="E41" s="4"/>
      <c r="F41" s="65">
        <v>8844</v>
      </c>
      <c r="G41" s="4" t="s">
        <v>218</v>
      </c>
      <c r="H41" s="10"/>
      <c r="I41" s="3" t="s">
        <v>80</v>
      </c>
      <c r="J41" s="1">
        <v>45016</v>
      </c>
      <c r="K41" s="3" t="s">
        <v>34</v>
      </c>
    </row>
    <row r="42" spans="1:11" hidden="1">
      <c r="A42" s="17" t="s">
        <v>28</v>
      </c>
      <c r="B42" s="3">
        <v>39</v>
      </c>
      <c r="C42" s="4" t="s">
        <v>175</v>
      </c>
      <c r="D42" s="56">
        <v>16119116</v>
      </c>
      <c r="E42" s="4"/>
      <c r="F42" s="65">
        <v>8845</v>
      </c>
      <c r="G42" s="4" t="s">
        <v>219</v>
      </c>
      <c r="H42" s="10"/>
      <c r="I42" s="3" t="s">
        <v>80</v>
      </c>
      <c r="J42" s="1">
        <v>45016</v>
      </c>
      <c r="K42" s="3" t="s">
        <v>34</v>
      </c>
    </row>
    <row r="43" spans="1:11" hidden="1">
      <c r="A43" s="17" t="s">
        <v>28</v>
      </c>
      <c r="B43" s="3">
        <v>40</v>
      </c>
      <c r="C43" s="4" t="s">
        <v>175</v>
      </c>
      <c r="D43" s="56">
        <v>16119117</v>
      </c>
      <c r="E43" s="4"/>
      <c r="F43" s="65">
        <v>8841</v>
      </c>
      <c r="G43" s="4" t="s">
        <v>220</v>
      </c>
      <c r="H43" s="10"/>
      <c r="I43" s="3" t="s">
        <v>80</v>
      </c>
      <c r="J43" s="1">
        <v>45016</v>
      </c>
      <c r="K43" s="3" t="s">
        <v>34</v>
      </c>
    </row>
    <row r="44" spans="1:11" hidden="1">
      <c r="A44" s="17" t="s">
        <v>28</v>
      </c>
      <c r="B44" s="3">
        <v>41</v>
      </c>
      <c r="C44" s="4" t="s">
        <v>175</v>
      </c>
      <c r="D44" s="56">
        <v>16119118</v>
      </c>
      <c r="E44" s="4"/>
      <c r="F44" s="65">
        <v>9335</v>
      </c>
      <c r="G44" s="4" t="s">
        <v>178</v>
      </c>
      <c r="H44" s="10"/>
      <c r="I44" s="3" t="s">
        <v>82</v>
      </c>
      <c r="J44" s="1">
        <v>45044</v>
      </c>
      <c r="K44" s="3" t="s">
        <v>34</v>
      </c>
    </row>
    <row r="45" spans="1:11" hidden="1">
      <c r="A45" s="17" t="s">
        <v>28</v>
      </c>
      <c r="B45" s="3">
        <v>42</v>
      </c>
      <c r="C45" s="4" t="s">
        <v>175</v>
      </c>
      <c r="D45" s="56">
        <v>16119119</v>
      </c>
      <c r="E45" s="4"/>
      <c r="F45" s="65">
        <v>9270</v>
      </c>
      <c r="G45" s="4" t="s">
        <v>181</v>
      </c>
      <c r="H45" s="10"/>
      <c r="I45" s="3" t="s">
        <v>82</v>
      </c>
      <c r="J45" s="1">
        <v>45044</v>
      </c>
      <c r="K45" s="3" t="s">
        <v>34</v>
      </c>
    </row>
    <row r="46" spans="1:11" hidden="1">
      <c r="A46" s="17" t="s">
        <v>28</v>
      </c>
      <c r="B46" s="3">
        <v>43</v>
      </c>
      <c r="C46" s="4" t="s">
        <v>175</v>
      </c>
      <c r="D46" s="56">
        <v>16119120</v>
      </c>
      <c r="E46" s="4"/>
      <c r="F46" s="65">
        <v>9314</v>
      </c>
      <c r="G46" s="4" t="s">
        <v>53</v>
      </c>
      <c r="H46" s="10"/>
      <c r="I46" s="3" t="s">
        <v>82</v>
      </c>
      <c r="J46" s="1">
        <v>45044</v>
      </c>
      <c r="K46" s="3" t="s">
        <v>34</v>
      </c>
    </row>
    <row r="47" spans="1:11" hidden="1">
      <c r="A47" s="17" t="s">
        <v>28</v>
      </c>
      <c r="B47" s="3">
        <v>44</v>
      </c>
      <c r="C47" s="4" t="s">
        <v>175</v>
      </c>
      <c r="D47" s="56">
        <v>16119121</v>
      </c>
      <c r="E47" s="4"/>
      <c r="F47" s="65">
        <v>9231</v>
      </c>
      <c r="G47" s="4" t="s">
        <v>193</v>
      </c>
      <c r="H47" s="10"/>
      <c r="I47" s="3" t="s">
        <v>82</v>
      </c>
      <c r="J47" s="1">
        <v>45044</v>
      </c>
      <c r="K47" s="3" t="s">
        <v>34</v>
      </c>
    </row>
    <row r="48" spans="1:11" hidden="1">
      <c r="A48" s="17" t="s">
        <v>28</v>
      </c>
      <c r="B48" s="3">
        <v>45</v>
      </c>
      <c r="C48" s="4" t="s">
        <v>175</v>
      </c>
      <c r="D48" s="56">
        <v>16119122</v>
      </c>
      <c r="E48" s="4"/>
      <c r="F48" s="65">
        <v>9262</v>
      </c>
      <c r="G48" s="4" t="s">
        <v>203</v>
      </c>
      <c r="H48" s="10"/>
      <c r="I48" s="3" t="s">
        <v>82</v>
      </c>
      <c r="J48" s="1">
        <v>45044</v>
      </c>
      <c r="K48" s="3" t="s">
        <v>34</v>
      </c>
    </row>
    <row r="49" spans="1:11" hidden="1">
      <c r="A49" s="17" t="s">
        <v>28</v>
      </c>
      <c r="B49" s="3">
        <v>46</v>
      </c>
      <c r="C49" s="4" t="s">
        <v>175</v>
      </c>
      <c r="D49" s="56">
        <v>16119123</v>
      </c>
      <c r="E49" s="4"/>
      <c r="F49" s="65">
        <v>9228</v>
      </c>
      <c r="G49" s="4" t="s">
        <v>218</v>
      </c>
      <c r="H49" s="10"/>
      <c r="I49" s="3" t="s">
        <v>82</v>
      </c>
      <c r="J49" s="1">
        <v>45063</v>
      </c>
      <c r="K49" s="3" t="s">
        <v>34</v>
      </c>
    </row>
    <row r="50" spans="1:11" hidden="1">
      <c r="A50" s="17" t="s">
        <v>28</v>
      </c>
      <c r="B50" s="3">
        <v>47</v>
      </c>
      <c r="C50" s="4" t="s">
        <v>175</v>
      </c>
      <c r="D50" s="56">
        <v>16119124</v>
      </c>
      <c r="E50" s="4"/>
      <c r="F50" s="65">
        <v>9230</v>
      </c>
      <c r="G50" s="4" t="s">
        <v>219</v>
      </c>
      <c r="H50" s="10"/>
      <c r="I50" s="3" t="s">
        <v>82</v>
      </c>
      <c r="J50" s="1">
        <v>45044</v>
      </c>
      <c r="K50" s="3" t="s">
        <v>34</v>
      </c>
    </row>
    <row r="51" spans="1:11" hidden="1">
      <c r="A51" s="17" t="s">
        <v>28</v>
      </c>
      <c r="B51" s="3">
        <v>48</v>
      </c>
      <c r="C51" s="4" t="s">
        <v>175</v>
      </c>
      <c r="D51" s="56">
        <v>16119125</v>
      </c>
      <c r="E51" s="4"/>
      <c r="F51" s="65">
        <v>9336</v>
      </c>
      <c r="G51" s="4" t="s">
        <v>220</v>
      </c>
      <c r="H51" s="10"/>
      <c r="I51" s="3" t="s">
        <v>82</v>
      </c>
      <c r="J51" s="1">
        <v>45044</v>
      </c>
      <c r="K51" s="3" t="s">
        <v>34</v>
      </c>
    </row>
    <row r="52" spans="1:11" hidden="1">
      <c r="A52" s="17" t="s">
        <v>28</v>
      </c>
      <c r="B52" s="3">
        <v>49</v>
      </c>
      <c r="C52" s="4" t="s">
        <v>175</v>
      </c>
      <c r="D52" s="56">
        <v>16119126</v>
      </c>
      <c r="E52" s="4"/>
      <c r="F52" s="65">
        <v>9465</v>
      </c>
      <c r="G52" s="4" t="s">
        <v>181</v>
      </c>
      <c r="H52" s="10"/>
      <c r="I52" s="3" t="s">
        <v>54</v>
      </c>
      <c r="J52" s="1">
        <v>45078</v>
      </c>
      <c r="K52" s="3" t="s">
        <v>34</v>
      </c>
    </row>
    <row r="53" spans="1:11" hidden="1">
      <c r="A53" s="17" t="s">
        <v>28</v>
      </c>
      <c r="B53" s="3">
        <v>50</v>
      </c>
      <c r="C53" s="4" t="s">
        <v>175</v>
      </c>
      <c r="D53" s="56">
        <v>16119127</v>
      </c>
      <c r="E53" s="4"/>
      <c r="F53" s="65">
        <v>9452</v>
      </c>
      <c r="G53" s="4" t="s">
        <v>203</v>
      </c>
      <c r="H53" s="10"/>
      <c r="I53" s="3" t="s">
        <v>54</v>
      </c>
      <c r="J53" s="1">
        <v>45078</v>
      </c>
      <c r="K53" s="3" t="s">
        <v>34</v>
      </c>
    </row>
    <row r="54" spans="1:11" hidden="1">
      <c r="A54" s="17" t="s">
        <v>28</v>
      </c>
      <c r="B54" s="3">
        <v>51</v>
      </c>
      <c r="C54" s="4" t="s">
        <v>175</v>
      </c>
      <c r="D54" s="56">
        <v>16119128</v>
      </c>
      <c r="E54" s="4"/>
      <c r="F54" s="65">
        <v>9546</v>
      </c>
      <c r="G54" s="4" t="s">
        <v>178</v>
      </c>
      <c r="H54" s="10"/>
      <c r="I54" s="3" t="s">
        <v>42</v>
      </c>
      <c r="J54" s="1">
        <v>45078</v>
      </c>
      <c r="K54" s="3" t="s">
        <v>34</v>
      </c>
    </row>
    <row r="55" spans="1:11" hidden="1">
      <c r="A55" s="17" t="s">
        <v>28</v>
      </c>
      <c r="B55" s="3">
        <v>52</v>
      </c>
      <c r="C55" s="4" t="s">
        <v>175</v>
      </c>
      <c r="D55" s="56">
        <v>16119129</v>
      </c>
      <c r="E55" s="4"/>
      <c r="F55" s="65">
        <v>9496</v>
      </c>
      <c r="G55" s="4" t="s">
        <v>193</v>
      </c>
      <c r="H55" s="10"/>
      <c r="I55" s="3" t="s">
        <v>42</v>
      </c>
      <c r="J55" s="1">
        <v>45078</v>
      </c>
      <c r="K55" s="3" t="s">
        <v>34</v>
      </c>
    </row>
    <row r="56" spans="1:11" hidden="1">
      <c r="A56" s="17" t="s">
        <v>28</v>
      </c>
      <c r="B56" s="3">
        <v>53</v>
      </c>
      <c r="C56" s="4" t="s">
        <v>175</v>
      </c>
      <c r="D56" s="56">
        <v>16119130</v>
      </c>
      <c r="E56" s="4"/>
      <c r="F56" s="65">
        <v>9452</v>
      </c>
      <c r="G56" s="4" t="s">
        <v>203</v>
      </c>
      <c r="H56" s="10"/>
      <c r="I56" s="3" t="s">
        <v>42</v>
      </c>
      <c r="J56" s="1">
        <v>45078</v>
      </c>
      <c r="K56" s="3" t="s">
        <v>34</v>
      </c>
    </row>
    <row r="57" spans="1:11" hidden="1">
      <c r="A57" s="17" t="s">
        <v>28</v>
      </c>
      <c r="B57" s="3">
        <v>54</v>
      </c>
      <c r="C57" s="4" t="s">
        <v>175</v>
      </c>
      <c r="D57" s="56">
        <v>16119131</v>
      </c>
      <c r="E57" s="4"/>
      <c r="F57" s="65">
        <v>9543</v>
      </c>
      <c r="G57" s="4" t="s">
        <v>219</v>
      </c>
      <c r="H57" s="10"/>
      <c r="I57" s="3" t="s">
        <v>42</v>
      </c>
      <c r="J57" s="1">
        <v>45078</v>
      </c>
      <c r="K57" s="3" t="s">
        <v>34</v>
      </c>
    </row>
    <row r="58" spans="1:11" hidden="1">
      <c r="A58" s="17" t="s">
        <v>28</v>
      </c>
      <c r="B58" s="3">
        <v>55</v>
      </c>
      <c r="C58" s="4" t="s">
        <v>175</v>
      </c>
      <c r="D58" s="56">
        <v>16119132</v>
      </c>
      <c r="E58" s="4"/>
      <c r="F58" s="65">
        <v>9501</v>
      </c>
      <c r="G58" s="4" t="s">
        <v>220</v>
      </c>
      <c r="H58" s="10"/>
      <c r="I58" s="3" t="s">
        <v>42</v>
      </c>
      <c r="J58" s="1">
        <v>45078</v>
      </c>
      <c r="K58" s="3" t="s">
        <v>34</v>
      </c>
    </row>
    <row r="59" spans="1:11" hidden="1">
      <c r="A59" s="17" t="s">
        <v>28</v>
      </c>
      <c r="B59" s="3">
        <v>56</v>
      </c>
      <c r="C59" s="4" t="s">
        <v>175</v>
      </c>
      <c r="D59" s="56">
        <v>16119133</v>
      </c>
      <c r="E59" s="4"/>
      <c r="F59" s="65">
        <v>9864</v>
      </c>
      <c r="G59" s="4" t="s">
        <v>193</v>
      </c>
      <c r="H59" s="10"/>
      <c r="I59" s="3" t="s">
        <v>43</v>
      </c>
      <c r="J59" s="1">
        <v>45103</v>
      </c>
      <c r="K59" s="3" t="s">
        <v>34</v>
      </c>
    </row>
    <row r="60" spans="1:11" hidden="1">
      <c r="A60" s="17" t="s">
        <v>28</v>
      </c>
      <c r="B60" s="3">
        <v>57</v>
      </c>
      <c r="C60" s="4" t="s">
        <v>175</v>
      </c>
      <c r="D60" s="56">
        <v>16119134</v>
      </c>
      <c r="E60" s="4"/>
      <c r="F60" s="65">
        <v>9861</v>
      </c>
      <c r="G60" s="4" t="s">
        <v>218</v>
      </c>
      <c r="H60" s="10"/>
      <c r="I60" s="3" t="s">
        <v>43</v>
      </c>
      <c r="J60" s="1">
        <v>45103</v>
      </c>
      <c r="K60" s="3" t="s">
        <v>34</v>
      </c>
    </row>
    <row r="61" spans="1:11" hidden="1">
      <c r="A61" s="17" t="s">
        <v>28</v>
      </c>
      <c r="B61" s="3">
        <v>58</v>
      </c>
      <c r="C61" s="4" t="s">
        <v>175</v>
      </c>
      <c r="D61" s="56">
        <v>16119135</v>
      </c>
      <c r="E61" s="4"/>
      <c r="F61" s="65">
        <v>9863</v>
      </c>
      <c r="G61" s="4" t="s">
        <v>219</v>
      </c>
      <c r="H61" s="10"/>
      <c r="I61" s="3" t="s">
        <v>43</v>
      </c>
      <c r="J61" s="1">
        <v>45103</v>
      </c>
      <c r="K61" s="3" t="s">
        <v>34</v>
      </c>
    </row>
    <row r="62" spans="1:11" hidden="1">
      <c r="A62" s="17" t="s">
        <v>28</v>
      </c>
      <c r="B62" s="3">
        <v>59</v>
      </c>
      <c r="C62" s="4" t="s">
        <v>175</v>
      </c>
      <c r="D62" s="56">
        <v>16119136</v>
      </c>
      <c r="E62" s="4"/>
      <c r="F62" s="65">
        <v>9874</v>
      </c>
      <c r="G62" s="4" t="s">
        <v>181</v>
      </c>
      <c r="H62" s="10"/>
      <c r="I62" s="3" t="s">
        <v>43</v>
      </c>
      <c r="J62" s="1">
        <v>45103</v>
      </c>
      <c r="K62" s="3" t="s">
        <v>34</v>
      </c>
    </row>
    <row r="63" spans="1:11" hidden="1">
      <c r="A63" s="17" t="s">
        <v>28</v>
      </c>
      <c r="B63" s="3">
        <v>60</v>
      </c>
      <c r="C63" s="4" t="s">
        <v>175</v>
      </c>
      <c r="D63" s="56">
        <v>16119137</v>
      </c>
      <c r="E63" s="4"/>
      <c r="F63" s="65">
        <v>9875</v>
      </c>
      <c r="G63" s="4" t="s">
        <v>203</v>
      </c>
      <c r="H63" s="10"/>
      <c r="I63" s="3" t="s">
        <v>43</v>
      </c>
      <c r="J63" s="1">
        <v>45103</v>
      </c>
      <c r="K63" s="3" t="s">
        <v>34</v>
      </c>
    </row>
    <row r="64" spans="1:11" hidden="1">
      <c r="A64" s="17" t="s">
        <v>28</v>
      </c>
      <c r="B64" s="3">
        <v>61</v>
      </c>
      <c r="C64" s="4" t="s">
        <v>175</v>
      </c>
      <c r="D64" s="56">
        <v>16119138</v>
      </c>
      <c r="E64" s="4"/>
      <c r="F64" s="65">
        <v>9873</v>
      </c>
      <c r="G64" s="4" t="s">
        <v>220</v>
      </c>
      <c r="H64" s="10"/>
      <c r="I64" s="3" t="s">
        <v>43</v>
      </c>
      <c r="J64" s="1">
        <v>45103</v>
      </c>
      <c r="K64" s="3" t="s">
        <v>34</v>
      </c>
    </row>
    <row r="65" spans="1:11" hidden="1">
      <c r="A65" s="17" t="s">
        <v>28</v>
      </c>
      <c r="B65" s="3">
        <v>62</v>
      </c>
      <c r="C65" s="4" t="s">
        <v>175</v>
      </c>
      <c r="D65" s="56">
        <v>16119139</v>
      </c>
      <c r="E65" s="4"/>
      <c r="F65" s="65">
        <v>9890</v>
      </c>
      <c r="G65" s="4" t="s">
        <v>178</v>
      </c>
      <c r="H65" s="10"/>
      <c r="I65" s="3" t="s">
        <v>43</v>
      </c>
      <c r="J65" s="1">
        <v>45103</v>
      </c>
      <c r="K65" s="3" t="s">
        <v>34</v>
      </c>
    </row>
    <row r="66" spans="1:11" hidden="1">
      <c r="A66" s="17" t="s">
        <v>28</v>
      </c>
      <c r="B66" s="3">
        <v>63</v>
      </c>
      <c r="C66" s="4" t="s">
        <v>175</v>
      </c>
      <c r="D66" s="56">
        <v>16119140</v>
      </c>
      <c r="E66" s="4"/>
      <c r="F66" s="65">
        <v>10179</v>
      </c>
      <c r="G66" s="4" t="s">
        <v>181</v>
      </c>
      <c r="H66" s="10"/>
      <c r="I66" s="3" t="s">
        <v>84</v>
      </c>
      <c r="J66" s="1">
        <v>45128</v>
      </c>
      <c r="K66" s="3" t="s">
        <v>34</v>
      </c>
    </row>
    <row r="67" spans="1:11" hidden="1">
      <c r="A67" s="17" t="s">
        <v>28</v>
      </c>
      <c r="B67" s="3">
        <v>64</v>
      </c>
      <c r="C67" s="4" t="s">
        <v>175</v>
      </c>
      <c r="D67" s="56">
        <v>16119141</v>
      </c>
      <c r="E67" s="4"/>
      <c r="F67" s="65">
        <v>10190</v>
      </c>
      <c r="G67" s="4" t="s">
        <v>178</v>
      </c>
      <c r="H67" s="10"/>
      <c r="I67" s="3" t="s">
        <v>84</v>
      </c>
      <c r="J67" s="1">
        <v>45128</v>
      </c>
      <c r="K67" s="3" t="s">
        <v>34</v>
      </c>
    </row>
    <row r="68" spans="1:11" hidden="1">
      <c r="A68" s="17" t="s">
        <v>28</v>
      </c>
      <c r="B68" s="3">
        <v>65</v>
      </c>
      <c r="C68" s="4" t="s">
        <v>175</v>
      </c>
      <c r="D68" s="56">
        <v>16119142</v>
      </c>
      <c r="E68" s="4"/>
      <c r="F68" s="65">
        <v>10193</v>
      </c>
      <c r="G68" s="4" t="s">
        <v>193</v>
      </c>
      <c r="H68" s="10"/>
      <c r="I68" s="3" t="s">
        <v>84</v>
      </c>
      <c r="J68" s="1">
        <v>45128</v>
      </c>
      <c r="K68" s="3" t="s">
        <v>34</v>
      </c>
    </row>
    <row r="69" spans="1:11" hidden="1">
      <c r="A69" s="17" t="s">
        <v>28</v>
      </c>
      <c r="B69" s="3">
        <v>66</v>
      </c>
      <c r="C69" s="4" t="s">
        <v>175</v>
      </c>
      <c r="D69" s="56">
        <v>16119143</v>
      </c>
      <c r="E69" s="4"/>
      <c r="F69" s="65">
        <v>10188</v>
      </c>
      <c r="G69" s="4" t="s">
        <v>203</v>
      </c>
      <c r="H69" s="10"/>
      <c r="I69" s="3" t="s">
        <v>84</v>
      </c>
      <c r="J69" s="1">
        <v>45128</v>
      </c>
      <c r="K69" s="3" t="s">
        <v>34</v>
      </c>
    </row>
    <row r="70" spans="1:11" hidden="1">
      <c r="A70" s="17" t="s">
        <v>28</v>
      </c>
      <c r="B70" s="3">
        <v>67</v>
      </c>
      <c r="C70" s="4" t="s">
        <v>175</v>
      </c>
      <c r="D70" s="56">
        <v>16119144</v>
      </c>
      <c r="E70" s="4"/>
      <c r="F70" s="65">
        <v>10192</v>
      </c>
      <c r="G70" s="4" t="s">
        <v>218</v>
      </c>
      <c r="H70" s="10"/>
      <c r="I70" s="3" t="s">
        <v>84</v>
      </c>
      <c r="J70" s="1">
        <v>45128</v>
      </c>
      <c r="K70" s="3" t="s">
        <v>34</v>
      </c>
    </row>
    <row r="71" spans="1:11" hidden="1">
      <c r="A71" s="17" t="s">
        <v>28</v>
      </c>
      <c r="B71" s="3">
        <v>68</v>
      </c>
      <c r="C71" s="4" t="s">
        <v>175</v>
      </c>
      <c r="D71" s="56">
        <v>16119145</v>
      </c>
      <c r="E71" s="4"/>
      <c r="F71" s="65">
        <v>10194</v>
      </c>
      <c r="G71" s="4" t="s">
        <v>219</v>
      </c>
      <c r="H71" s="10"/>
      <c r="I71" s="3" t="s">
        <v>84</v>
      </c>
      <c r="J71" s="1">
        <v>45128</v>
      </c>
      <c r="K71" s="3" t="s">
        <v>34</v>
      </c>
    </row>
    <row r="72" spans="1:11" hidden="1">
      <c r="A72" s="17" t="s">
        <v>28</v>
      </c>
      <c r="B72" s="3">
        <v>69</v>
      </c>
      <c r="C72" s="4" t="s">
        <v>175</v>
      </c>
      <c r="D72" s="56">
        <v>16119146</v>
      </c>
      <c r="E72" s="4"/>
      <c r="F72" s="65">
        <v>10196</v>
      </c>
      <c r="G72" s="4" t="s">
        <v>220</v>
      </c>
      <c r="H72" s="10"/>
      <c r="I72" s="3" t="s">
        <v>84</v>
      </c>
      <c r="J72" s="1">
        <v>45128</v>
      </c>
      <c r="K72" s="3" t="s">
        <v>34</v>
      </c>
    </row>
    <row r="73" spans="1:11" hidden="1">
      <c r="A73" s="17" t="s">
        <v>28</v>
      </c>
      <c r="B73" s="3">
        <v>70</v>
      </c>
      <c r="C73" s="4" t="s">
        <v>175</v>
      </c>
      <c r="D73" s="56">
        <v>16119147</v>
      </c>
      <c r="E73" s="4"/>
      <c r="F73" s="65">
        <v>10395</v>
      </c>
      <c r="G73" s="4" t="s">
        <v>193</v>
      </c>
      <c r="H73" s="10"/>
      <c r="I73" s="3" t="s">
        <v>467</v>
      </c>
      <c r="J73" s="1">
        <v>45148</v>
      </c>
      <c r="K73" s="3" t="s">
        <v>34</v>
      </c>
    </row>
    <row r="74" spans="1:11" hidden="1">
      <c r="A74" s="17" t="s">
        <v>28</v>
      </c>
      <c r="B74" s="3">
        <v>71</v>
      </c>
      <c r="C74" s="4" t="s">
        <v>175</v>
      </c>
      <c r="D74" s="56">
        <v>16119148</v>
      </c>
      <c r="E74" s="4"/>
      <c r="F74" s="65">
        <v>10391</v>
      </c>
      <c r="G74" s="4" t="s">
        <v>218</v>
      </c>
      <c r="H74" s="10"/>
      <c r="I74" s="3" t="s">
        <v>467</v>
      </c>
      <c r="J74" s="1">
        <v>45148</v>
      </c>
      <c r="K74" s="3" t="s">
        <v>34</v>
      </c>
    </row>
    <row r="75" spans="1:11" hidden="1">
      <c r="A75" s="17" t="s">
        <v>28</v>
      </c>
      <c r="B75" s="3">
        <v>72</v>
      </c>
      <c r="C75" s="4" t="s">
        <v>175</v>
      </c>
      <c r="D75" s="56">
        <v>16119149</v>
      </c>
      <c r="E75" s="4"/>
      <c r="F75" s="65">
        <v>10390</v>
      </c>
      <c r="G75" s="4" t="s">
        <v>219</v>
      </c>
      <c r="H75" s="10"/>
      <c r="I75" s="3" t="s">
        <v>467</v>
      </c>
      <c r="J75" s="1">
        <v>45148</v>
      </c>
      <c r="K75" s="3" t="s">
        <v>34</v>
      </c>
    </row>
    <row r="76" spans="1:11" hidden="1">
      <c r="A76" s="17" t="s">
        <v>28</v>
      </c>
      <c r="B76" s="3">
        <v>73</v>
      </c>
      <c r="C76" s="4" t="s">
        <v>175</v>
      </c>
      <c r="D76" s="56">
        <v>16119150</v>
      </c>
      <c r="E76" s="4"/>
      <c r="F76" s="65">
        <v>10389</v>
      </c>
      <c r="G76" s="4" t="s">
        <v>220</v>
      </c>
      <c r="H76" s="10"/>
      <c r="I76" s="3" t="s">
        <v>467</v>
      </c>
      <c r="J76" s="1">
        <v>45148</v>
      </c>
      <c r="K76" s="3" t="s">
        <v>34</v>
      </c>
    </row>
    <row r="77" spans="1:11" hidden="1">
      <c r="A77" s="17" t="s">
        <v>28</v>
      </c>
      <c r="B77" s="3">
        <v>74</v>
      </c>
      <c r="C77" s="4" t="s">
        <v>175</v>
      </c>
      <c r="D77" s="56">
        <v>16119151</v>
      </c>
      <c r="E77" s="4"/>
      <c r="F77" s="65">
        <v>10394</v>
      </c>
      <c r="G77" s="4" t="s">
        <v>178</v>
      </c>
      <c r="H77" s="10"/>
      <c r="I77" s="3" t="s">
        <v>46</v>
      </c>
      <c r="J77" s="1">
        <v>45148</v>
      </c>
      <c r="K77" s="3" t="s">
        <v>34</v>
      </c>
    </row>
    <row r="78" spans="1:11" hidden="1">
      <c r="A78" s="17" t="s">
        <v>28</v>
      </c>
      <c r="B78" s="3">
        <v>75</v>
      </c>
      <c r="C78" s="4" t="s">
        <v>175</v>
      </c>
      <c r="D78" s="56">
        <v>16119152</v>
      </c>
      <c r="E78" s="4"/>
      <c r="F78" s="65">
        <v>10397</v>
      </c>
      <c r="G78" s="4" t="s">
        <v>181</v>
      </c>
      <c r="H78" s="10"/>
      <c r="I78" s="3" t="s">
        <v>46</v>
      </c>
      <c r="J78" s="1">
        <v>45148</v>
      </c>
      <c r="K78" s="3" t="s">
        <v>34</v>
      </c>
    </row>
    <row r="79" spans="1:11" hidden="1">
      <c r="A79" s="17" t="s">
        <v>28</v>
      </c>
      <c r="B79" s="3">
        <v>76</v>
      </c>
      <c r="C79" s="4" t="s">
        <v>175</v>
      </c>
      <c r="D79" s="56">
        <v>16119153</v>
      </c>
      <c r="E79" s="4"/>
      <c r="F79" s="65">
        <v>10392</v>
      </c>
      <c r="G79" s="4" t="s">
        <v>203</v>
      </c>
      <c r="H79" s="10"/>
      <c r="I79" s="3" t="s">
        <v>46</v>
      </c>
      <c r="J79" s="1">
        <v>45148</v>
      </c>
      <c r="K79" s="3" t="s">
        <v>34</v>
      </c>
    </row>
    <row r="80" spans="1:11" hidden="1">
      <c r="A80" s="17" t="s">
        <v>28</v>
      </c>
      <c r="B80" s="3">
        <v>77</v>
      </c>
      <c r="C80" s="4" t="s">
        <v>175</v>
      </c>
      <c r="D80" s="56">
        <v>16119154</v>
      </c>
      <c r="E80" s="4"/>
      <c r="F80" s="65">
        <v>10758</v>
      </c>
      <c r="G80" s="4" t="s">
        <v>219</v>
      </c>
      <c r="H80" s="10"/>
      <c r="I80" s="3" t="s">
        <v>47</v>
      </c>
      <c r="J80" s="1">
        <v>45198</v>
      </c>
      <c r="K80" s="3" t="s">
        <v>477</v>
      </c>
    </row>
    <row r="81" spans="1:11" hidden="1">
      <c r="A81" s="17" t="s">
        <v>28</v>
      </c>
      <c r="B81" s="3">
        <v>78</v>
      </c>
      <c r="C81" s="4" t="s">
        <v>175</v>
      </c>
      <c r="D81" s="56">
        <v>16119155</v>
      </c>
      <c r="E81" s="4"/>
      <c r="F81" s="65">
        <v>10753</v>
      </c>
      <c r="G81" s="4" t="s">
        <v>218</v>
      </c>
      <c r="H81" s="10"/>
      <c r="I81" s="3" t="s">
        <v>47</v>
      </c>
      <c r="J81" s="1">
        <v>45198</v>
      </c>
      <c r="K81" s="3" t="s">
        <v>477</v>
      </c>
    </row>
    <row r="82" spans="1:11" hidden="1">
      <c r="A82" s="17" t="s">
        <v>28</v>
      </c>
      <c r="B82" s="3">
        <v>79</v>
      </c>
      <c r="C82" s="4" t="s">
        <v>175</v>
      </c>
      <c r="D82" s="56">
        <v>16119156</v>
      </c>
      <c r="E82" s="4"/>
      <c r="F82" s="65">
        <v>10752</v>
      </c>
      <c r="G82" s="4" t="s">
        <v>220</v>
      </c>
      <c r="H82" s="10"/>
      <c r="I82" s="3" t="s">
        <v>47</v>
      </c>
      <c r="J82" s="1">
        <v>45198</v>
      </c>
      <c r="K82" s="3" t="s">
        <v>477</v>
      </c>
    </row>
    <row r="83" spans="1:11" hidden="1">
      <c r="A83" s="17" t="s">
        <v>28</v>
      </c>
      <c r="B83" s="3">
        <v>80</v>
      </c>
      <c r="C83" s="4" t="s">
        <v>175</v>
      </c>
      <c r="D83" s="56">
        <v>16119157</v>
      </c>
      <c r="E83" s="4"/>
      <c r="F83" s="65">
        <v>10741</v>
      </c>
      <c r="G83" s="4" t="s">
        <v>219</v>
      </c>
      <c r="H83" s="10"/>
      <c r="I83" s="3" t="s">
        <v>47</v>
      </c>
      <c r="J83" s="1">
        <v>45198</v>
      </c>
      <c r="K83" s="3" t="s">
        <v>477</v>
      </c>
    </row>
    <row r="84" spans="1:11" hidden="1">
      <c r="A84" s="17" t="s">
        <v>28</v>
      </c>
      <c r="B84" s="3">
        <v>81</v>
      </c>
      <c r="C84" s="4" t="s">
        <v>175</v>
      </c>
      <c r="D84" s="56">
        <v>16119158</v>
      </c>
      <c r="E84" s="4"/>
      <c r="F84" s="65">
        <v>10740</v>
      </c>
      <c r="G84" s="4" t="s">
        <v>178</v>
      </c>
      <c r="H84" s="10"/>
      <c r="I84" s="3" t="s">
        <v>47</v>
      </c>
      <c r="J84" s="1">
        <v>45198</v>
      </c>
      <c r="K84" s="3" t="s">
        <v>477</v>
      </c>
    </row>
    <row r="85" spans="1:11" hidden="1">
      <c r="A85" s="17" t="s">
        <v>28</v>
      </c>
      <c r="B85" s="3">
        <v>82</v>
      </c>
      <c r="C85" s="4" t="s">
        <v>175</v>
      </c>
      <c r="D85" s="56">
        <v>16119159</v>
      </c>
      <c r="E85" s="4"/>
      <c r="F85" s="65">
        <v>10717</v>
      </c>
      <c r="G85" s="4" t="s">
        <v>181</v>
      </c>
      <c r="H85" s="10"/>
      <c r="I85" s="3" t="s">
        <v>47</v>
      </c>
      <c r="J85" s="1">
        <v>45198</v>
      </c>
      <c r="K85" s="3" t="s">
        <v>477</v>
      </c>
    </row>
    <row r="86" spans="1:11" hidden="1">
      <c r="A86" s="17" t="s">
        <v>28</v>
      </c>
      <c r="B86" s="3">
        <v>83</v>
      </c>
      <c r="C86" s="4" t="s">
        <v>175</v>
      </c>
      <c r="D86" s="56">
        <v>16119160</v>
      </c>
      <c r="E86" s="4"/>
      <c r="F86" s="65">
        <v>10858</v>
      </c>
      <c r="G86" s="4" t="s">
        <v>203</v>
      </c>
      <c r="H86" s="10"/>
      <c r="I86" s="3" t="s">
        <v>481</v>
      </c>
      <c r="J86" s="1">
        <v>45202</v>
      </c>
      <c r="K86" s="3" t="s">
        <v>477</v>
      </c>
    </row>
    <row r="87" spans="1:11" hidden="1">
      <c r="A87" s="17" t="s">
        <v>44</v>
      </c>
      <c r="B87" s="3">
        <v>84</v>
      </c>
      <c r="C87" s="4" t="s">
        <v>175</v>
      </c>
      <c r="D87" s="56">
        <v>16119161</v>
      </c>
      <c r="E87" s="4"/>
      <c r="F87" s="65">
        <v>10958</v>
      </c>
      <c r="G87" s="4" t="s">
        <v>178</v>
      </c>
      <c r="H87" s="10"/>
      <c r="I87" s="3" t="s">
        <v>48</v>
      </c>
      <c r="J87" s="1">
        <v>45225</v>
      </c>
      <c r="K87" s="3" t="s">
        <v>477</v>
      </c>
    </row>
    <row r="88" spans="1:11" hidden="1">
      <c r="A88" s="17" t="s">
        <v>44</v>
      </c>
      <c r="B88" s="3">
        <v>85</v>
      </c>
      <c r="C88" s="4" t="s">
        <v>175</v>
      </c>
      <c r="D88" s="56">
        <v>16119162</v>
      </c>
      <c r="E88" s="4"/>
      <c r="F88" s="65">
        <v>10956</v>
      </c>
      <c r="G88" s="4" t="s">
        <v>193</v>
      </c>
      <c r="H88" s="10"/>
      <c r="I88" s="3" t="s">
        <v>48</v>
      </c>
      <c r="J88" s="1">
        <v>45225</v>
      </c>
      <c r="K88" s="3" t="s">
        <v>477</v>
      </c>
    </row>
    <row r="89" spans="1:11" hidden="1">
      <c r="A89" s="17" t="s">
        <v>44</v>
      </c>
      <c r="B89" s="3">
        <v>86</v>
      </c>
      <c r="C89" s="4" t="s">
        <v>175</v>
      </c>
      <c r="D89" s="56">
        <v>16119163</v>
      </c>
      <c r="E89" s="4"/>
      <c r="F89" s="65">
        <v>10954</v>
      </c>
      <c r="G89" s="4" t="s">
        <v>220</v>
      </c>
      <c r="H89" s="10"/>
      <c r="I89" s="3" t="s">
        <v>48</v>
      </c>
      <c r="J89" s="1">
        <v>45225</v>
      </c>
      <c r="K89" s="3" t="s">
        <v>477</v>
      </c>
    </row>
    <row r="90" spans="1:11" hidden="1">
      <c r="A90" s="17" t="s">
        <v>44</v>
      </c>
      <c r="B90" s="3">
        <v>87</v>
      </c>
      <c r="C90" s="4" t="s">
        <v>175</v>
      </c>
      <c r="D90" s="56">
        <v>16119164</v>
      </c>
      <c r="E90" s="4"/>
      <c r="F90" s="65">
        <v>10953</v>
      </c>
      <c r="G90" s="4" t="s">
        <v>219</v>
      </c>
      <c r="H90" s="10"/>
      <c r="I90" s="3" t="s">
        <v>48</v>
      </c>
      <c r="J90" s="1">
        <v>45225</v>
      </c>
      <c r="K90" s="3" t="s">
        <v>477</v>
      </c>
    </row>
    <row r="91" spans="1:11" hidden="1">
      <c r="A91" s="17" t="s">
        <v>44</v>
      </c>
      <c r="B91" s="3">
        <v>88</v>
      </c>
      <c r="C91" s="4" t="s">
        <v>175</v>
      </c>
      <c r="D91" s="56">
        <v>16119165</v>
      </c>
      <c r="E91" s="4"/>
      <c r="F91" s="65">
        <v>10952</v>
      </c>
      <c r="G91" s="4" t="s">
        <v>218</v>
      </c>
      <c r="H91" s="10"/>
      <c r="I91" s="3" t="s">
        <v>48</v>
      </c>
      <c r="J91" s="1">
        <v>45225</v>
      </c>
      <c r="K91" s="3" t="s">
        <v>477</v>
      </c>
    </row>
    <row r="92" spans="1:11" hidden="1">
      <c r="A92" s="17" t="s">
        <v>44</v>
      </c>
      <c r="B92" s="3">
        <v>89</v>
      </c>
      <c r="C92" s="4" t="s">
        <v>175</v>
      </c>
      <c r="D92" s="56">
        <v>16119166</v>
      </c>
      <c r="E92" s="4"/>
      <c r="F92" s="65">
        <v>10951</v>
      </c>
      <c r="G92" s="4" t="s">
        <v>203</v>
      </c>
      <c r="H92" s="10"/>
      <c r="I92" s="3" t="s">
        <v>48</v>
      </c>
      <c r="J92" s="1">
        <v>45225</v>
      </c>
      <c r="K92" s="3" t="s">
        <v>477</v>
      </c>
    </row>
    <row r="93" spans="1:11" hidden="1">
      <c r="A93" s="17" t="s">
        <v>44</v>
      </c>
      <c r="B93" s="3">
        <v>90</v>
      </c>
      <c r="C93" s="4" t="s">
        <v>175</v>
      </c>
      <c r="D93" s="56">
        <v>16119167</v>
      </c>
      <c r="E93" s="4"/>
      <c r="F93" s="65">
        <v>10950</v>
      </c>
      <c r="G93" s="4" t="s">
        <v>181</v>
      </c>
      <c r="H93" s="10"/>
      <c r="I93" s="3" t="s">
        <v>48</v>
      </c>
      <c r="J93" s="1">
        <v>45225</v>
      </c>
      <c r="K93" s="3" t="s">
        <v>477</v>
      </c>
    </row>
    <row r="94" spans="1:11" hidden="1">
      <c r="A94" s="17"/>
      <c r="B94" s="3">
        <v>91</v>
      </c>
      <c r="C94" s="4" t="s">
        <v>175</v>
      </c>
      <c r="D94" s="56">
        <v>16119168</v>
      </c>
      <c r="E94" s="4"/>
      <c r="F94" s="65">
        <v>11183</v>
      </c>
      <c r="G94" s="4" t="s">
        <v>181</v>
      </c>
      <c r="H94" s="10"/>
      <c r="I94" s="3" t="s">
        <v>49</v>
      </c>
      <c r="J94" s="1">
        <v>45250</v>
      </c>
      <c r="K94" s="3" t="s">
        <v>477</v>
      </c>
    </row>
    <row r="95" spans="1:11" hidden="1">
      <c r="A95" s="17"/>
      <c r="B95" s="3">
        <v>92</v>
      </c>
      <c r="C95" s="4" t="s">
        <v>175</v>
      </c>
      <c r="D95" s="56">
        <v>16119169</v>
      </c>
      <c r="E95" s="4"/>
      <c r="F95" s="65">
        <v>11320</v>
      </c>
      <c r="G95" s="4" t="s">
        <v>219</v>
      </c>
      <c r="H95" s="10"/>
      <c r="I95" s="3" t="s">
        <v>49</v>
      </c>
      <c r="J95" s="1">
        <v>45250</v>
      </c>
      <c r="K95" s="3" t="s">
        <v>477</v>
      </c>
    </row>
    <row r="96" spans="1:11" hidden="1">
      <c r="A96" s="17"/>
      <c r="B96" s="3">
        <v>93</v>
      </c>
      <c r="C96" s="4" t="s">
        <v>175</v>
      </c>
      <c r="D96" s="56">
        <v>16119170</v>
      </c>
      <c r="E96" s="4"/>
      <c r="F96" s="65">
        <v>11319</v>
      </c>
      <c r="G96" s="4" t="s">
        <v>193</v>
      </c>
      <c r="H96" s="10"/>
      <c r="I96" s="3" t="s">
        <v>49</v>
      </c>
      <c r="J96" s="1">
        <v>45250</v>
      </c>
      <c r="K96" s="3" t="s">
        <v>477</v>
      </c>
    </row>
    <row r="97" spans="1:12" hidden="1">
      <c r="A97" s="17"/>
      <c r="B97" s="3">
        <v>94</v>
      </c>
      <c r="C97" s="4" t="s">
        <v>175</v>
      </c>
      <c r="D97" s="56">
        <v>16119171</v>
      </c>
      <c r="E97" s="4"/>
      <c r="F97" s="65">
        <v>11317</v>
      </c>
      <c r="G97" s="4" t="s">
        <v>218</v>
      </c>
      <c r="H97" s="10"/>
      <c r="I97" s="3" t="s">
        <v>49</v>
      </c>
      <c r="J97" s="1">
        <v>45250</v>
      </c>
      <c r="K97" s="3" t="s">
        <v>477</v>
      </c>
    </row>
    <row r="98" spans="1:12" hidden="1">
      <c r="A98" s="17"/>
      <c r="B98" s="3">
        <v>95</v>
      </c>
      <c r="C98" s="4" t="s">
        <v>175</v>
      </c>
      <c r="D98" s="56">
        <v>16119172</v>
      </c>
      <c r="E98" s="4"/>
      <c r="F98" s="65">
        <v>11316</v>
      </c>
      <c r="G98" s="4" t="s">
        <v>220</v>
      </c>
      <c r="H98" s="10"/>
      <c r="I98" s="3" t="s">
        <v>49</v>
      </c>
      <c r="J98" s="1">
        <v>45250</v>
      </c>
      <c r="K98" s="3" t="s">
        <v>477</v>
      </c>
    </row>
    <row r="99" spans="1:12" hidden="1">
      <c r="A99" s="17"/>
      <c r="B99" s="3">
        <v>96</v>
      </c>
      <c r="C99" s="4" t="s">
        <v>175</v>
      </c>
      <c r="D99" s="56">
        <v>16119173</v>
      </c>
      <c r="E99" s="4"/>
      <c r="F99" s="65">
        <v>11315</v>
      </c>
      <c r="G99" s="4" t="s">
        <v>203</v>
      </c>
      <c r="H99" s="10"/>
      <c r="I99" s="3" t="s">
        <v>49</v>
      </c>
      <c r="J99" s="1">
        <v>45250</v>
      </c>
      <c r="K99" s="3" t="s">
        <v>477</v>
      </c>
    </row>
    <row r="100" spans="1:12" hidden="1">
      <c r="A100" s="149"/>
      <c r="B100" s="150">
        <v>97</v>
      </c>
      <c r="C100" s="151" t="s">
        <v>175</v>
      </c>
      <c r="D100" s="152">
        <v>16119174</v>
      </c>
      <c r="E100" s="151"/>
      <c r="F100" s="153">
        <v>11304</v>
      </c>
      <c r="G100" s="151" t="s">
        <v>178</v>
      </c>
      <c r="H100" s="154"/>
      <c r="I100" s="150" t="s">
        <v>49</v>
      </c>
      <c r="J100" s="155">
        <v>45250</v>
      </c>
      <c r="K100" s="150" t="s">
        <v>477</v>
      </c>
    </row>
    <row r="101" spans="1:12" hidden="1">
      <c r="A101" s="3"/>
      <c r="B101" s="3">
        <v>98</v>
      </c>
      <c r="C101" s="4" t="s">
        <v>175</v>
      </c>
      <c r="D101" s="56">
        <v>16119175</v>
      </c>
      <c r="E101" s="4"/>
      <c r="F101" s="65" t="s">
        <v>507</v>
      </c>
      <c r="G101" s="4" t="s">
        <v>219</v>
      </c>
      <c r="H101" s="10"/>
      <c r="I101" s="3" t="s">
        <v>33</v>
      </c>
      <c r="J101" s="1">
        <v>45275</v>
      </c>
      <c r="K101" s="3" t="s">
        <v>477</v>
      </c>
      <c r="L101" s="4"/>
    </row>
    <row r="102" spans="1:12" hidden="1">
      <c r="A102" s="3"/>
      <c r="B102" s="3">
        <v>99</v>
      </c>
      <c r="C102" s="4" t="s">
        <v>175</v>
      </c>
      <c r="D102" s="56">
        <v>16119176</v>
      </c>
      <c r="E102" s="4"/>
      <c r="F102" s="65" t="s">
        <v>508</v>
      </c>
      <c r="G102" s="4" t="s">
        <v>193</v>
      </c>
      <c r="H102" s="10"/>
      <c r="I102" s="3" t="s">
        <v>33</v>
      </c>
      <c r="J102" s="1">
        <v>45275</v>
      </c>
      <c r="K102" s="3" t="s">
        <v>477</v>
      </c>
      <c r="L102" s="4"/>
    </row>
    <row r="103" spans="1:12" hidden="1">
      <c r="A103" s="3"/>
      <c r="B103" s="3">
        <v>100</v>
      </c>
      <c r="C103" s="4" t="s">
        <v>175</v>
      </c>
      <c r="D103" s="56">
        <v>16119177</v>
      </c>
      <c r="E103" s="4"/>
      <c r="F103" s="65" t="s">
        <v>509</v>
      </c>
      <c r="G103" s="4" t="s">
        <v>203</v>
      </c>
      <c r="H103" s="10"/>
      <c r="I103" s="3" t="s">
        <v>33</v>
      </c>
      <c r="J103" s="1">
        <v>45275</v>
      </c>
      <c r="K103" s="3" t="s">
        <v>477</v>
      </c>
      <c r="L103" s="4"/>
    </row>
    <row r="104" spans="1:12" hidden="1">
      <c r="A104" s="3"/>
      <c r="B104" s="3">
        <v>101</v>
      </c>
      <c r="C104" s="4" t="s">
        <v>175</v>
      </c>
      <c r="D104" s="56">
        <v>16119178</v>
      </c>
      <c r="E104" s="4"/>
      <c r="F104" s="65" t="s">
        <v>510</v>
      </c>
      <c r="G104" s="4" t="s">
        <v>181</v>
      </c>
      <c r="H104" s="10"/>
      <c r="I104" s="3" t="s">
        <v>33</v>
      </c>
      <c r="J104" s="1">
        <v>45275</v>
      </c>
      <c r="K104" s="3" t="s">
        <v>477</v>
      </c>
      <c r="L104" s="4"/>
    </row>
    <row r="105" spans="1:12" hidden="1">
      <c r="A105" s="3"/>
      <c r="B105" s="3">
        <v>102</v>
      </c>
      <c r="C105" s="4" t="s">
        <v>175</v>
      </c>
      <c r="D105" s="56">
        <v>16119179</v>
      </c>
      <c r="E105" s="4"/>
      <c r="F105" s="65" t="s">
        <v>511</v>
      </c>
      <c r="G105" s="4" t="s">
        <v>178</v>
      </c>
      <c r="H105" s="10"/>
      <c r="I105" s="3" t="s">
        <v>33</v>
      </c>
      <c r="J105" s="1">
        <v>45275</v>
      </c>
      <c r="K105" s="3" t="s">
        <v>477</v>
      </c>
      <c r="L105" s="4"/>
    </row>
    <row r="106" spans="1:12" hidden="1">
      <c r="A106" s="3"/>
      <c r="B106" s="3">
        <v>103</v>
      </c>
      <c r="C106" s="4" t="s">
        <v>175</v>
      </c>
      <c r="D106" s="56">
        <v>16119180</v>
      </c>
      <c r="E106" s="4"/>
      <c r="F106" s="65">
        <v>11851</v>
      </c>
      <c r="G106" s="4" t="s">
        <v>193</v>
      </c>
      <c r="H106" s="10"/>
      <c r="I106" s="3" t="s">
        <v>522</v>
      </c>
      <c r="J106" s="1">
        <v>45310</v>
      </c>
      <c r="K106" s="3" t="s">
        <v>477</v>
      </c>
      <c r="L106" s="4"/>
    </row>
    <row r="107" spans="1:12" hidden="1">
      <c r="A107" s="3"/>
      <c r="B107" s="3">
        <v>104</v>
      </c>
      <c r="C107" s="4" t="s">
        <v>175</v>
      </c>
      <c r="D107" s="56">
        <v>16119181</v>
      </c>
      <c r="E107" s="4"/>
      <c r="F107" s="65">
        <v>11852</v>
      </c>
      <c r="G107" s="4" t="s">
        <v>219</v>
      </c>
      <c r="H107" s="10"/>
      <c r="I107" s="3" t="s">
        <v>522</v>
      </c>
      <c r="J107" s="1">
        <v>45310</v>
      </c>
      <c r="K107" s="3" t="s">
        <v>477</v>
      </c>
      <c r="L107" s="4"/>
    </row>
    <row r="108" spans="1:12" hidden="1">
      <c r="A108" s="3"/>
      <c r="B108" s="3">
        <v>105</v>
      </c>
      <c r="C108" s="4" t="s">
        <v>175</v>
      </c>
      <c r="D108" s="56">
        <v>16119182</v>
      </c>
      <c r="E108" s="4"/>
      <c r="F108" s="65">
        <v>11878</v>
      </c>
      <c r="G108" s="4" t="s">
        <v>181</v>
      </c>
      <c r="H108" s="10"/>
      <c r="I108" s="3" t="s">
        <v>522</v>
      </c>
      <c r="J108" s="1">
        <v>45310</v>
      </c>
      <c r="K108" s="3" t="s">
        <v>477</v>
      </c>
      <c r="L108" s="4"/>
    </row>
    <row r="109" spans="1:12" hidden="1">
      <c r="A109" s="3"/>
      <c r="B109" s="3">
        <v>106</v>
      </c>
      <c r="C109" s="4" t="s">
        <v>175</v>
      </c>
      <c r="D109" s="56">
        <v>16119183</v>
      </c>
      <c r="E109" s="4"/>
      <c r="F109" s="65">
        <v>11879</v>
      </c>
      <c r="G109" s="4" t="s">
        <v>203</v>
      </c>
      <c r="H109" s="10"/>
      <c r="I109" s="3" t="s">
        <v>522</v>
      </c>
      <c r="J109" s="1">
        <v>45310</v>
      </c>
      <c r="K109" s="3" t="s">
        <v>477</v>
      </c>
      <c r="L109" s="4"/>
    </row>
    <row r="110" spans="1:12" hidden="1">
      <c r="A110" s="3"/>
      <c r="B110" s="3">
        <v>107</v>
      </c>
      <c r="C110" s="4" t="s">
        <v>175</v>
      </c>
      <c r="D110" s="56">
        <v>16119184</v>
      </c>
      <c r="E110" s="4"/>
      <c r="F110" s="65">
        <v>11883</v>
      </c>
      <c r="G110" s="4" t="s">
        <v>178</v>
      </c>
      <c r="H110" s="10"/>
      <c r="I110" s="3" t="s">
        <v>522</v>
      </c>
      <c r="J110" s="1">
        <v>45310</v>
      </c>
      <c r="K110" s="3" t="s">
        <v>477</v>
      </c>
      <c r="L110" s="4"/>
    </row>
    <row r="111" spans="1:12" hidden="1">
      <c r="A111" s="3"/>
      <c r="B111" s="3">
        <v>108</v>
      </c>
      <c r="C111" s="4" t="s">
        <v>175</v>
      </c>
      <c r="D111" s="56">
        <v>16119185</v>
      </c>
      <c r="E111" s="4"/>
      <c r="F111" s="65">
        <v>12081</v>
      </c>
      <c r="G111" s="4" t="s">
        <v>178</v>
      </c>
      <c r="H111" s="10"/>
      <c r="I111" s="3" t="s">
        <v>217</v>
      </c>
      <c r="J111" s="1">
        <v>45337</v>
      </c>
      <c r="K111" s="3" t="s">
        <v>477</v>
      </c>
      <c r="L111" s="4"/>
    </row>
    <row r="112" spans="1:12" hidden="1">
      <c r="A112" s="3"/>
      <c r="B112" s="3">
        <v>109</v>
      </c>
      <c r="C112" s="4" t="s">
        <v>175</v>
      </c>
      <c r="D112" s="56">
        <v>16119186</v>
      </c>
      <c r="E112" s="4"/>
      <c r="F112" s="65">
        <v>12114</v>
      </c>
      <c r="G112" s="4" t="s">
        <v>193</v>
      </c>
      <c r="H112" s="10"/>
      <c r="I112" s="3" t="s">
        <v>217</v>
      </c>
      <c r="J112" s="1">
        <v>45337</v>
      </c>
      <c r="K112" s="3" t="s">
        <v>477</v>
      </c>
      <c r="L112" s="4"/>
    </row>
    <row r="113" spans="1:12" hidden="1">
      <c r="A113" s="3"/>
      <c r="B113" s="3">
        <v>110</v>
      </c>
      <c r="C113" s="4" t="s">
        <v>175</v>
      </c>
      <c r="D113" s="56">
        <v>16119187</v>
      </c>
      <c r="E113" s="4"/>
      <c r="F113" s="65">
        <v>12089</v>
      </c>
      <c r="G113" s="4" t="s">
        <v>219</v>
      </c>
      <c r="H113" s="10"/>
      <c r="I113" s="3" t="s">
        <v>217</v>
      </c>
      <c r="J113" s="1">
        <v>45337</v>
      </c>
      <c r="K113" s="3" t="s">
        <v>477</v>
      </c>
      <c r="L113" s="4"/>
    </row>
    <row r="114" spans="1:12" hidden="1">
      <c r="A114" s="3"/>
      <c r="B114" s="3">
        <v>111</v>
      </c>
      <c r="C114" s="4" t="s">
        <v>175</v>
      </c>
      <c r="D114" s="56">
        <v>16119188</v>
      </c>
      <c r="E114" s="4"/>
      <c r="F114" s="65">
        <v>12159</v>
      </c>
      <c r="G114" s="4" t="s">
        <v>203</v>
      </c>
      <c r="H114" s="10"/>
      <c r="I114" s="3" t="s">
        <v>217</v>
      </c>
      <c r="J114" s="1">
        <v>45337</v>
      </c>
      <c r="K114" s="3" t="s">
        <v>477</v>
      </c>
      <c r="L114" s="4"/>
    </row>
    <row r="115" spans="1:12" hidden="1">
      <c r="A115" s="3"/>
      <c r="B115" s="3">
        <v>112</v>
      </c>
      <c r="C115" s="4" t="s">
        <v>175</v>
      </c>
      <c r="D115" s="56">
        <v>16119189</v>
      </c>
      <c r="E115" s="4"/>
      <c r="F115" s="65">
        <v>12160</v>
      </c>
      <c r="G115" s="4" t="s">
        <v>181</v>
      </c>
      <c r="H115" s="10"/>
      <c r="I115" s="3" t="s">
        <v>217</v>
      </c>
      <c r="J115" s="1">
        <v>45337</v>
      </c>
      <c r="K115" s="3" t="s">
        <v>477</v>
      </c>
      <c r="L115" s="4"/>
    </row>
    <row r="116" spans="1:12" hidden="1">
      <c r="A116" s="3"/>
      <c r="B116" s="3">
        <v>113</v>
      </c>
      <c r="C116" s="4" t="s">
        <v>175</v>
      </c>
      <c r="D116" s="56">
        <v>16119190</v>
      </c>
      <c r="E116" s="4"/>
      <c r="F116" s="65" t="s">
        <v>556</v>
      </c>
      <c r="G116" s="4" t="s">
        <v>219</v>
      </c>
      <c r="H116" s="10"/>
      <c r="I116" s="3" t="s">
        <v>531</v>
      </c>
      <c r="J116" s="1">
        <v>45380</v>
      </c>
      <c r="K116" s="3" t="s">
        <v>477</v>
      </c>
      <c r="L116" s="4"/>
    </row>
    <row r="117" spans="1:12" hidden="1">
      <c r="A117" s="3"/>
      <c r="B117" s="3">
        <v>114</v>
      </c>
      <c r="C117" s="4" t="s">
        <v>175</v>
      </c>
      <c r="D117" s="56">
        <v>16119191</v>
      </c>
      <c r="E117" s="4"/>
      <c r="F117" s="65" t="s">
        <v>557</v>
      </c>
      <c r="G117" s="4" t="s">
        <v>181</v>
      </c>
      <c r="H117" s="10"/>
      <c r="I117" s="3" t="s">
        <v>531</v>
      </c>
      <c r="J117" s="1">
        <v>45380</v>
      </c>
      <c r="K117" s="3" t="s">
        <v>477</v>
      </c>
      <c r="L117" s="4"/>
    </row>
    <row r="118" spans="1:12" hidden="1">
      <c r="A118" s="3"/>
      <c r="B118" s="3">
        <v>115</v>
      </c>
      <c r="C118" s="4" t="s">
        <v>175</v>
      </c>
      <c r="D118" s="56">
        <v>16119192</v>
      </c>
      <c r="E118" s="4"/>
      <c r="F118" s="65" t="s">
        <v>558</v>
      </c>
      <c r="G118" s="4" t="s">
        <v>560</v>
      </c>
      <c r="H118" s="10"/>
      <c r="I118" s="3" t="s">
        <v>80</v>
      </c>
      <c r="J118" s="12" t="s">
        <v>561</v>
      </c>
      <c r="K118" s="3" t="s">
        <v>477</v>
      </c>
      <c r="L118" s="4"/>
    </row>
    <row r="119" spans="1:12" hidden="1">
      <c r="A119" s="3"/>
      <c r="B119" s="3">
        <v>116</v>
      </c>
      <c r="C119" s="4" t="s">
        <v>175</v>
      </c>
      <c r="D119" s="56">
        <v>16119193</v>
      </c>
      <c r="E119" s="4"/>
      <c r="F119" s="65" t="s">
        <v>559</v>
      </c>
      <c r="G119" s="4" t="s">
        <v>203</v>
      </c>
      <c r="H119" s="10"/>
      <c r="I119" s="3" t="s">
        <v>80</v>
      </c>
      <c r="J119" s="12" t="s">
        <v>561</v>
      </c>
      <c r="K119" s="3" t="s">
        <v>477</v>
      </c>
      <c r="L119" s="4"/>
    </row>
    <row r="120" spans="1:12" hidden="1">
      <c r="A120" s="3"/>
      <c r="B120" s="3">
        <v>117</v>
      </c>
      <c r="C120" s="4" t="s">
        <v>175</v>
      </c>
      <c r="D120" s="56">
        <v>16119194</v>
      </c>
      <c r="E120" s="4"/>
      <c r="F120" s="65" t="s">
        <v>564</v>
      </c>
      <c r="G120" s="4" t="s">
        <v>565</v>
      </c>
      <c r="H120" s="10"/>
      <c r="I120" s="3" t="s">
        <v>531</v>
      </c>
      <c r="J120" s="12" t="s">
        <v>566</v>
      </c>
      <c r="K120" s="3" t="s">
        <v>477</v>
      </c>
      <c r="L120" s="4"/>
    </row>
    <row r="121" spans="1:12" hidden="1">
      <c r="A121" s="3"/>
      <c r="B121" s="3">
        <v>118</v>
      </c>
      <c r="C121" s="4" t="s">
        <v>175</v>
      </c>
      <c r="D121" s="56">
        <v>16119195</v>
      </c>
      <c r="E121" s="4"/>
      <c r="F121" s="65" t="s">
        <v>567</v>
      </c>
      <c r="G121" s="4" t="s">
        <v>220</v>
      </c>
      <c r="H121" s="10"/>
      <c r="I121" s="3" t="s">
        <v>531</v>
      </c>
      <c r="J121" s="12" t="s">
        <v>566</v>
      </c>
      <c r="K121" s="3" t="s">
        <v>477</v>
      </c>
      <c r="L121" s="4"/>
    </row>
    <row r="122" spans="1:12" hidden="1">
      <c r="A122" s="3"/>
      <c r="B122" s="3">
        <v>119</v>
      </c>
      <c r="C122" s="4" t="s">
        <v>574</v>
      </c>
      <c r="D122" s="56">
        <v>16119196</v>
      </c>
      <c r="E122" s="4"/>
      <c r="F122" s="65" t="s">
        <v>575</v>
      </c>
      <c r="G122" s="4" t="s">
        <v>203</v>
      </c>
      <c r="H122" s="10"/>
      <c r="I122" s="3" t="s">
        <v>572</v>
      </c>
      <c r="J122" s="12" t="s">
        <v>576</v>
      </c>
      <c r="K122" s="3" t="s">
        <v>477</v>
      </c>
      <c r="L122" s="4"/>
    </row>
    <row r="123" spans="1:12" hidden="1">
      <c r="A123" s="3"/>
      <c r="B123" s="3">
        <v>120</v>
      </c>
      <c r="C123" s="4" t="s">
        <v>574</v>
      </c>
      <c r="D123" s="56">
        <v>16119197</v>
      </c>
      <c r="E123" s="4"/>
      <c r="F123" s="65" t="s">
        <v>577</v>
      </c>
      <c r="G123" s="4" t="s">
        <v>181</v>
      </c>
      <c r="H123" s="10"/>
      <c r="I123" s="3" t="s">
        <v>572</v>
      </c>
      <c r="J123" s="12" t="s">
        <v>576</v>
      </c>
      <c r="K123" s="3" t="s">
        <v>477</v>
      </c>
      <c r="L123" s="4"/>
    </row>
    <row r="124" spans="1:12" hidden="1">
      <c r="A124" s="3"/>
      <c r="B124" s="3">
        <v>121</v>
      </c>
      <c r="C124" s="4" t="s">
        <v>574</v>
      </c>
      <c r="D124" s="56">
        <v>16119198</v>
      </c>
      <c r="E124" s="4"/>
      <c r="F124" s="65" t="s">
        <v>578</v>
      </c>
      <c r="G124" s="4" t="s">
        <v>220</v>
      </c>
      <c r="H124" s="10"/>
      <c r="I124" s="3" t="s">
        <v>572</v>
      </c>
      <c r="J124" s="12" t="s">
        <v>576</v>
      </c>
      <c r="K124" s="3" t="s">
        <v>477</v>
      </c>
      <c r="L124" s="4"/>
    </row>
    <row r="125" spans="1:12" hidden="1">
      <c r="A125" s="3"/>
      <c r="B125" s="3">
        <v>122</v>
      </c>
      <c r="C125" s="4" t="s">
        <v>574</v>
      </c>
      <c r="D125" s="56">
        <v>16119199</v>
      </c>
      <c r="E125" s="4"/>
      <c r="F125" s="65" t="s">
        <v>579</v>
      </c>
      <c r="G125" s="4" t="s">
        <v>219</v>
      </c>
      <c r="H125" s="10"/>
      <c r="I125" s="3" t="s">
        <v>572</v>
      </c>
      <c r="J125" s="12" t="s">
        <v>576</v>
      </c>
      <c r="K125" s="3" t="s">
        <v>477</v>
      </c>
      <c r="L125" s="4"/>
    </row>
    <row r="126" spans="1:12" hidden="1">
      <c r="A126" s="3"/>
      <c r="B126" s="3">
        <v>123</v>
      </c>
      <c r="C126" s="4" t="s">
        <v>574</v>
      </c>
      <c r="D126" s="56">
        <v>16119200</v>
      </c>
      <c r="E126" s="4"/>
      <c r="F126" s="65" t="s">
        <v>580</v>
      </c>
      <c r="G126" s="4" t="s">
        <v>565</v>
      </c>
      <c r="H126" s="10"/>
      <c r="I126" s="3" t="s">
        <v>572</v>
      </c>
      <c r="J126" s="12" t="s">
        <v>576</v>
      </c>
      <c r="K126" s="3" t="s">
        <v>477</v>
      </c>
      <c r="L126" s="4"/>
    </row>
    <row r="127" spans="1:12" hidden="1">
      <c r="A127" s="3"/>
      <c r="B127" s="3">
        <v>124</v>
      </c>
      <c r="C127" s="4" t="s">
        <v>574</v>
      </c>
      <c r="D127" s="56">
        <v>16119201</v>
      </c>
      <c r="E127" s="4"/>
      <c r="F127" s="65" t="s">
        <v>581</v>
      </c>
      <c r="G127" s="4" t="s">
        <v>560</v>
      </c>
      <c r="H127" s="10"/>
      <c r="I127" s="3" t="s">
        <v>572</v>
      </c>
      <c r="J127" s="12" t="s">
        <v>576</v>
      </c>
      <c r="K127" s="3" t="s">
        <v>477</v>
      </c>
      <c r="L127" s="4"/>
    </row>
    <row r="128" spans="1:12" hidden="1">
      <c r="A128" s="3"/>
      <c r="B128" s="3">
        <v>125</v>
      </c>
      <c r="C128" s="4" t="s">
        <v>574</v>
      </c>
      <c r="D128" s="56">
        <v>16119202</v>
      </c>
      <c r="E128" s="4"/>
      <c r="F128" s="65" t="s">
        <v>616</v>
      </c>
      <c r="G128" s="4" t="s">
        <v>203</v>
      </c>
      <c r="H128" s="10"/>
      <c r="I128" s="3" t="s">
        <v>54</v>
      </c>
      <c r="J128" s="12" t="s">
        <v>617</v>
      </c>
      <c r="K128" s="3" t="s">
        <v>477</v>
      </c>
      <c r="L128" s="4"/>
    </row>
    <row r="129" spans="1:12" hidden="1">
      <c r="A129" s="3"/>
      <c r="B129" s="3">
        <v>126</v>
      </c>
      <c r="C129" s="4" t="s">
        <v>574</v>
      </c>
      <c r="D129" s="56">
        <v>16119203</v>
      </c>
      <c r="E129" s="4"/>
      <c r="F129" s="65" t="s">
        <v>618</v>
      </c>
      <c r="G129" s="4" t="s">
        <v>181</v>
      </c>
      <c r="H129" s="10"/>
      <c r="I129" s="3" t="s">
        <v>54</v>
      </c>
      <c r="J129" s="12" t="s">
        <v>617</v>
      </c>
      <c r="K129" s="3" t="s">
        <v>477</v>
      </c>
      <c r="L129" s="4"/>
    </row>
    <row r="130" spans="1:12" hidden="1">
      <c r="A130" s="3"/>
      <c r="B130" s="3">
        <v>127</v>
      </c>
      <c r="C130" s="4" t="s">
        <v>574</v>
      </c>
      <c r="D130" s="56">
        <v>16119204</v>
      </c>
      <c r="E130" s="4"/>
      <c r="F130" s="65" t="s">
        <v>619</v>
      </c>
      <c r="G130" s="4" t="s">
        <v>560</v>
      </c>
      <c r="H130" s="10"/>
      <c r="I130" s="3" t="s">
        <v>54</v>
      </c>
      <c r="J130" s="12" t="s">
        <v>617</v>
      </c>
      <c r="K130" s="3" t="s">
        <v>477</v>
      </c>
      <c r="L130" s="4"/>
    </row>
    <row r="131" spans="1:12" hidden="1">
      <c r="A131" s="3"/>
      <c r="B131" s="3">
        <v>128</v>
      </c>
      <c r="C131" s="4" t="s">
        <v>574</v>
      </c>
      <c r="D131" s="56">
        <v>16119205</v>
      </c>
      <c r="E131" s="4"/>
      <c r="F131" s="65" t="s">
        <v>620</v>
      </c>
      <c r="G131" s="4" t="s">
        <v>565</v>
      </c>
      <c r="H131" s="10"/>
      <c r="I131" s="3" t="s">
        <v>54</v>
      </c>
      <c r="J131" s="12" t="s">
        <v>617</v>
      </c>
      <c r="K131" s="3" t="s">
        <v>477</v>
      </c>
      <c r="L131" s="4"/>
    </row>
    <row r="132" spans="1:12" hidden="1">
      <c r="A132" s="3"/>
      <c r="B132" s="3">
        <v>129</v>
      </c>
      <c r="C132" s="4" t="s">
        <v>574</v>
      </c>
      <c r="D132" s="56">
        <v>16119206</v>
      </c>
      <c r="E132" s="4"/>
      <c r="F132" s="65" t="s">
        <v>621</v>
      </c>
      <c r="G132" s="4" t="s">
        <v>219</v>
      </c>
      <c r="H132" s="10"/>
      <c r="I132" s="3" t="s">
        <v>54</v>
      </c>
      <c r="J132" s="12" t="s">
        <v>617</v>
      </c>
      <c r="K132" s="3" t="s">
        <v>477</v>
      </c>
      <c r="L132" s="4"/>
    </row>
    <row r="133" spans="1:12" hidden="1">
      <c r="A133" s="3"/>
      <c r="B133" s="3">
        <v>130</v>
      </c>
      <c r="C133" s="4" t="s">
        <v>574</v>
      </c>
      <c r="D133" s="56">
        <v>16119207</v>
      </c>
      <c r="E133" s="4"/>
      <c r="F133" s="65" t="s">
        <v>622</v>
      </c>
      <c r="G133" s="4" t="s">
        <v>220</v>
      </c>
      <c r="H133" s="10"/>
      <c r="I133" s="3" t="s">
        <v>54</v>
      </c>
      <c r="J133" s="12" t="s">
        <v>617</v>
      </c>
      <c r="K133" s="3" t="s">
        <v>477</v>
      </c>
      <c r="L133" s="4"/>
    </row>
    <row r="134" spans="1:12" hidden="1">
      <c r="A134" s="3"/>
      <c r="B134" s="3">
        <v>131</v>
      </c>
      <c r="C134" s="4" t="s">
        <v>574</v>
      </c>
      <c r="D134" s="56">
        <v>16119208</v>
      </c>
      <c r="E134" s="4"/>
      <c r="F134" s="65">
        <v>13086</v>
      </c>
      <c r="G134" s="4" t="s">
        <v>560</v>
      </c>
      <c r="H134" s="10"/>
      <c r="I134" s="3" t="s">
        <v>56</v>
      </c>
      <c r="J134" s="12" t="s">
        <v>638</v>
      </c>
      <c r="K134" s="3" t="s">
        <v>477</v>
      </c>
      <c r="L134" s="4"/>
    </row>
    <row r="135" spans="1:12" hidden="1">
      <c r="A135" s="3"/>
      <c r="B135" s="3">
        <v>132</v>
      </c>
      <c r="C135" s="4" t="s">
        <v>574</v>
      </c>
      <c r="D135" s="56">
        <v>16119209</v>
      </c>
      <c r="E135" s="4"/>
      <c r="F135" s="65">
        <v>13089</v>
      </c>
      <c r="G135" s="4" t="s">
        <v>220</v>
      </c>
      <c r="H135" s="10"/>
      <c r="I135" s="3" t="s">
        <v>56</v>
      </c>
      <c r="J135" s="12" t="s">
        <v>638</v>
      </c>
      <c r="K135" s="3" t="s">
        <v>477</v>
      </c>
      <c r="L135" s="4"/>
    </row>
    <row r="136" spans="1:12" hidden="1">
      <c r="A136" s="3"/>
      <c r="B136" s="3">
        <v>133</v>
      </c>
      <c r="C136" s="4" t="s">
        <v>574</v>
      </c>
      <c r="D136" s="56">
        <v>16119210</v>
      </c>
      <c r="E136" s="4"/>
      <c r="F136" s="65">
        <v>13126</v>
      </c>
      <c r="G136" s="4" t="s">
        <v>203</v>
      </c>
      <c r="H136" s="10"/>
      <c r="I136" s="3" t="s">
        <v>56</v>
      </c>
      <c r="J136" s="12" t="s">
        <v>638</v>
      </c>
      <c r="K136" s="3" t="s">
        <v>477</v>
      </c>
      <c r="L136" s="4"/>
    </row>
    <row r="137" spans="1:12" hidden="1">
      <c r="A137" s="3"/>
      <c r="B137" s="3">
        <v>134</v>
      </c>
      <c r="C137" s="4" t="s">
        <v>574</v>
      </c>
      <c r="D137" s="56">
        <v>16119211</v>
      </c>
      <c r="E137" s="4"/>
      <c r="F137" s="65">
        <v>13088</v>
      </c>
      <c r="G137" s="4" t="s">
        <v>219</v>
      </c>
      <c r="H137" s="10"/>
      <c r="I137" s="3" t="s">
        <v>56</v>
      </c>
      <c r="J137" s="12" t="s">
        <v>638</v>
      </c>
      <c r="K137" s="3" t="s">
        <v>477</v>
      </c>
      <c r="L137" s="4"/>
    </row>
    <row r="138" spans="1:12" hidden="1">
      <c r="A138" s="3"/>
      <c r="B138" s="3">
        <v>135</v>
      </c>
      <c r="C138" s="4" t="s">
        <v>574</v>
      </c>
      <c r="D138" s="56">
        <v>16119212</v>
      </c>
      <c r="E138" s="4"/>
      <c r="F138" s="65">
        <v>13087</v>
      </c>
      <c r="G138" s="4" t="s">
        <v>565</v>
      </c>
      <c r="H138" s="10"/>
      <c r="I138" s="3" t="s">
        <v>56</v>
      </c>
      <c r="J138" s="12" t="s">
        <v>638</v>
      </c>
      <c r="K138" s="3" t="s">
        <v>477</v>
      </c>
      <c r="L138" s="4"/>
    </row>
    <row r="139" spans="1:12" hidden="1">
      <c r="A139" s="3"/>
      <c r="B139" s="3">
        <v>136</v>
      </c>
      <c r="C139" s="4" t="s">
        <v>574</v>
      </c>
      <c r="D139" s="56">
        <v>16119213</v>
      </c>
      <c r="E139" s="4"/>
      <c r="F139" s="65">
        <v>13242</v>
      </c>
      <c r="G139" s="4" t="s">
        <v>181</v>
      </c>
      <c r="H139" s="10"/>
      <c r="I139" s="3" t="s">
        <v>56</v>
      </c>
      <c r="J139" s="12" t="s">
        <v>638</v>
      </c>
      <c r="K139" s="3" t="s">
        <v>477</v>
      </c>
      <c r="L139" s="4"/>
    </row>
    <row r="140" spans="1:12" hidden="1">
      <c r="A140" s="3"/>
      <c r="B140" s="3">
        <v>137</v>
      </c>
      <c r="C140" s="4" t="s">
        <v>574</v>
      </c>
      <c r="D140" s="56">
        <v>16119214</v>
      </c>
      <c r="E140" s="4"/>
      <c r="F140" s="65">
        <v>13567</v>
      </c>
      <c r="G140" s="4" t="s">
        <v>181</v>
      </c>
      <c r="H140" s="10"/>
      <c r="I140" s="3" t="s">
        <v>84</v>
      </c>
      <c r="J140" s="12" t="s">
        <v>642</v>
      </c>
      <c r="K140" s="3" t="s">
        <v>477</v>
      </c>
      <c r="L140" s="4"/>
    </row>
    <row r="141" spans="1:12" hidden="1">
      <c r="A141" s="3"/>
      <c r="B141" s="3">
        <v>138</v>
      </c>
      <c r="C141" s="4" t="s">
        <v>574</v>
      </c>
      <c r="D141" s="56">
        <v>16119215</v>
      </c>
      <c r="E141" s="4"/>
      <c r="F141" s="65">
        <v>13502</v>
      </c>
      <c r="G141" s="4" t="s">
        <v>203</v>
      </c>
      <c r="H141" s="10"/>
      <c r="I141" s="3" t="s">
        <v>84</v>
      </c>
      <c r="J141" s="12" t="s">
        <v>642</v>
      </c>
      <c r="K141" s="3" t="s">
        <v>477</v>
      </c>
      <c r="L141" s="4"/>
    </row>
    <row r="142" spans="1:12" hidden="1">
      <c r="A142" s="3"/>
      <c r="B142" s="3">
        <v>139</v>
      </c>
      <c r="C142" s="4" t="s">
        <v>574</v>
      </c>
      <c r="D142" s="56">
        <v>16119216</v>
      </c>
      <c r="E142" s="4"/>
      <c r="F142" s="65">
        <v>13500</v>
      </c>
      <c r="G142" s="4" t="s">
        <v>560</v>
      </c>
      <c r="H142" s="10"/>
      <c r="I142" s="3" t="s">
        <v>84</v>
      </c>
      <c r="J142" s="12" t="s">
        <v>642</v>
      </c>
      <c r="K142" s="3" t="s">
        <v>477</v>
      </c>
      <c r="L142" s="4"/>
    </row>
    <row r="143" spans="1:12" hidden="1">
      <c r="A143" s="3"/>
      <c r="B143" s="3">
        <v>140</v>
      </c>
      <c r="C143" s="4" t="s">
        <v>574</v>
      </c>
      <c r="D143" s="56">
        <v>16119217</v>
      </c>
      <c r="F143" s="65">
        <v>13499</v>
      </c>
      <c r="G143" s="4" t="s">
        <v>565</v>
      </c>
      <c r="H143" s="10"/>
      <c r="I143" s="3" t="s">
        <v>84</v>
      </c>
      <c r="J143" s="12" t="s">
        <v>642</v>
      </c>
      <c r="K143" s="3" t="s">
        <v>477</v>
      </c>
      <c r="L143" s="4"/>
    </row>
    <row r="144" spans="1:12" hidden="1">
      <c r="A144" s="3"/>
      <c r="B144" s="3">
        <v>141</v>
      </c>
      <c r="C144" s="4" t="s">
        <v>574</v>
      </c>
      <c r="D144" s="56">
        <v>16119218</v>
      </c>
      <c r="F144" s="65">
        <v>13498</v>
      </c>
      <c r="G144" s="4" t="s">
        <v>219</v>
      </c>
      <c r="I144" s="3" t="s">
        <v>84</v>
      </c>
      <c r="J144" s="12" t="s">
        <v>642</v>
      </c>
      <c r="K144" s="3" t="s">
        <v>477</v>
      </c>
      <c r="L144" s="4"/>
    </row>
    <row r="145" spans="1:12" hidden="1">
      <c r="A145" s="3"/>
      <c r="B145" s="3">
        <v>142</v>
      </c>
      <c r="C145" s="151" t="s">
        <v>574</v>
      </c>
      <c r="D145" s="152">
        <v>16119219</v>
      </c>
      <c r="F145" s="153">
        <v>13497</v>
      </c>
      <c r="G145" s="151" t="s">
        <v>220</v>
      </c>
      <c r="H145" s="154"/>
      <c r="I145" s="150" t="s">
        <v>84</v>
      </c>
      <c r="J145" s="156" t="s">
        <v>642</v>
      </c>
      <c r="K145" s="150" t="s">
        <v>477</v>
      </c>
      <c r="L145" s="4"/>
    </row>
    <row r="146" spans="1:12" hidden="1">
      <c r="A146" s="3"/>
      <c r="B146" s="3">
        <v>143</v>
      </c>
      <c r="C146" s="151" t="s">
        <v>574</v>
      </c>
      <c r="D146" s="56">
        <v>16119220</v>
      </c>
      <c r="E146" s="4"/>
      <c r="F146" s="65">
        <v>13676</v>
      </c>
      <c r="G146" s="151" t="s">
        <v>220</v>
      </c>
      <c r="H146" s="10"/>
      <c r="I146" s="3" t="s">
        <v>85</v>
      </c>
      <c r="J146" s="156" t="s">
        <v>649</v>
      </c>
      <c r="K146" s="150" t="s">
        <v>477</v>
      </c>
      <c r="L146" s="4"/>
    </row>
    <row r="147" spans="1:12" hidden="1">
      <c r="A147" s="3"/>
      <c r="B147" s="3">
        <v>144</v>
      </c>
      <c r="C147" s="151" t="s">
        <v>574</v>
      </c>
      <c r="D147" s="56">
        <v>16119221</v>
      </c>
      <c r="E147" s="4"/>
      <c r="F147" s="65">
        <v>13677</v>
      </c>
      <c r="G147" s="4" t="s">
        <v>565</v>
      </c>
      <c r="H147" s="10"/>
      <c r="I147" s="3" t="s">
        <v>85</v>
      </c>
      <c r="J147" s="156" t="s">
        <v>649</v>
      </c>
      <c r="K147" s="150" t="s">
        <v>477</v>
      </c>
      <c r="L147" s="4"/>
    </row>
    <row r="148" spans="1:12" hidden="1">
      <c r="A148" s="3"/>
      <c r="B148" s="3">
        <v>145</v>
      </c>
      <c r="C148" s="151" t="s">
        <v>574</v>
      </c>
      <c r="D148" s="56">
        <v>16119222</v>
      </c>
      <c r="E148" s="4"/>
      <c r="F148" s="65">
        <v>13675</v>
      </c>
      <c r="G148" s="4" t="s">
        <v>560</v>
      </c>
      <c r="H148" s="10"/>
      <c r="I148" s="3" t="s">
        <v>85</v>
      </c>
      <c r="J148" s="156" t="s">
        <v>649</v>
      </c>
      <c r="K148" s="150" t="s">
        <v>477</v>
      </c>
      <c r="L148" s="4"/>
    </row>
    <row r="149" spans="1:12" hidden="1">
      <c r="A149" s="3"/>
      <c r="B149" s="3">
        <v>146</v>
      </c>
      <c r="C149" s="151" t="s">
        <v>574</v>
      </c>
      <c r="D149" s="56">
        <v>16119223</v>
      </c>
      <c r="E149" s="4"/>
      <c r="F149" s="65">
        <v>13679</v>
      </c>
      <c r="G149" s="4" t="s">
        <v>181</v>
      </c>
      <c r="H149" s="10"/>
      <c r="I149" s="3" t="s">
        <v>85</v>
      </c>
      <c r="J149" s="156" t="s">
        <v>649</v>
      </c>
      <c r="K149" s="150" t="s">
        <v>477</v>
      </c>
      <c r="L149" s="4"/>
    </row>
    <row r="150" spans="1:12" hidden="1">
      <c r="A150" s="3"/>
      <c r="B150" s="3">
        <v>147</v>
      </c>
      <c r="C150" s="151" t="s">
        <v>574</v>
      </c>
      <c r="D150" s="56">
        <v>16119224</v>
      </c>
      <c r="E150" s="4"/>
      <c r="F150" s="65">
        <v>13711</v>
      </c>
      <c r="G150" s="4" t="s">
        <v>203</v>
      </c>
      <c r="H150" s="10"/>
      <c r="I150" s="3" t="s">
        <v>85</v>
      </c>
      <c r="J150" s="156" t="s">
        <v>649</v>
      </c>
      <c r="K150" s="150" t="s">
        <v>477</v>
      </c>
      <c r="L150" s="4"/>
    </row>
    <row r="151" spans="1:12" hidden="1">
      <c r="A151" s="3"/>
      <c r="B151" s="3">
        <v>148</v>
      </c>
      <c r="C151" s="151" t="s">
        <v>574</v>
      </c>
      <c r="D151" s="56">
        <v>16119225</v>
      </c>
      <c r="E151" s="4"/>
      <c r="F151" s="65">
        <v>13678</v>
      </c>
      <c r="G151" s="4" t="s">
        <v>219</v>
      </c>
      <c r="H151" s="10"/>
      <c r="I151" s="3" t="s">
        <v>85</v>
      </c>
      <c r="J151" s="156" t="s">
        <v>649</v>
      </c>
      <c r="K151" s="150" t="s">
        <v>477</v>
      </c>
      <c r="L151" s="4"/>
    </row>
    <row r="152" spans="1:12" hidden="1">
      <c r="A152" s="3"/>
      <c r="B152" s="3">
        <v>149</v>
      </c>
      <c r="C152" s="151" t="s">
        <v>574</v>
      </c>
      <c r="D152" s="56">
        <v>16119226</v>
      </c>
      <c r="E152" s="4"/>
      <c r="F152" s="65">
        <v>14075</v>
      </c>
      <c r="G152" s="4" t="s">
        <v>181</v>
      </c>
      <c r="H152" s="10"/>
      <c r="I152" s="3" t="s">
        <v>478</v>
      </c>
      <c r="J152" s="156" t="s">
        <v>660</v>
      </c>
      <c r="K152" s="150" t="s">
        <v>653</v>
      </c>
      <c r="L152" s="4"/>
    </row>
    <row r="153" spans="1:12" hidden="1">
      <c r="A153" s="3"/>
      <c r="B153" s="3">
        <v>150</v>
      </c>
      <c r="C153" s="151" t="s">
        <v>574</v>
      </c>
      <c r="D153" s="56">
        <v>16119227</v>
      </c>
      <c r="E153" s="4"/>
      <c r="F153" s="65">
        <v>13948</v>
      </c>
      <c r="G153" s="4" t="s">
        <v>219</v>
      </c>
      <c r="H153" s="10"/>
      <c r="I153" s="3" t="s">
        <v>478</v>
      </c>
      <c r="J153" s="156" t="s">
        <v>660</v>
      </c>
      <c r="K153" s="150" t="s">
        <v>653</v>
      </c>
      <c r="L153" s="4"/>
    </row>
    <row r="154" spans="1:12" hidden="1">
      <c r="A154" s="3"/>
      <c r="B154" s="3">
        <v>151</v>
      </c>
      <c r="C154" s="151" t="s">
        <v>574</v>
      </c>
      <c r="D154" s="56">
        <v>16119228</v>
      </c>
      <c r="E154" s="4"/>
      <c r="F154" s="65">
        <v>13947</v>
      </c>
      <c r="G154" s="4" t="s">
        <v>565</v>
      </c>
      <c r="H154" s="10"/>
      <c r="I154" s="3" t="s">
        <v>478</v>
      </c>
      <c r="J154" s="156" t="s">
        <v>660</v>
      </c>
      <c r="K154" s="150" t="s">
        <v>653</v>
      </c>
      <c r="L154" s="4"/>
    </row>
    <row r="155" spans="1:12" hidden="1">
      <c r="B155" s="3">
        <v>152</v>
      </c>
      <c r="C155" s="151" t="s">
        <v>574</v>
      </c>
      <c r="D155" s="56">
        <v>16119229</v>
      </c>
      <c r="E155" s="4"/>
      <c r="F155" s="65">
        <v>13946</v>
      </c>
      <c r="G155" s="151" t="s">
        <v>220</v>
      </c>
      <c r="H155" s="10"/>
      <c r="I155" s="3" t="s">
        <v>478</v>
      </c>
      <c r="J155" s="156" t="s">
        <v>660</v>
      </c>
      <c r="K155" s="150" t="s">
        <v>653</v>
      </c>
      <c r="L155" s="4"/>
    </row>
    <row r="156" spans="1:12" hidden="1">
      <c r="B156" s="3">
        <v>153</v>
      </c>
      <c r="C156" s="151" t="s">
        <v>574</v>
      </c>
      <c r="D156" s="56">
        <v>16119230</v>
      </c>
      <c r="E156" s="4"/>
      <c r="F156" s="65">
        <v>13945</v>
      </c>
      <c r="G156" s="4" t="s">
        <v>560</v>
      </c>
      <c r="H156" s="10"/>
      <c r="I156" s="3" t="s">
        <v>478</v>
      </c>
      <c r="J156" s="156" t="s">
        <v>660</v>
      </c>
      <c r="K156" s="150" t="s">
        <v>653</v>
      </c>
      <c r="L156" s="4"/>
    </row>
    <row r="157" spans="1:12" hidden="1">
      <c r="B157" s="3">
        <v>154</v>
      </c>
      <c r="C157" s="151" t="s">
        <v>574</v>
      </c>
      <c r="D157" s="56">
        <v>16119231</v>
      </c>
      <c r="E157" s="4"/>
      <c r="F157" s="65">
        <v>13893</v>
      </c>
      <c r="G157" s="4" t="s">
        <v>203</v>
      </c>
      <c r="H157" s="10"/>
      <c r="I157" s="3" t="s">
        <v>478</v>
      </c>
      <c r="J157" s="156" t="s">
        <v>660</v>
      </c>
      <c r="K157" s="150" t="s">
        <v>653</v>
      </c>
      <c r="L157" s="4"/>
    </row>
    <row r="158" spans="1:12" hidden="1">
      <c r="B158" s="3">
        <v>155</v>
      </c>
      <c r="C158" s="151" t="s">
        <v>574</v>
      </c>
      <c r="D158" s="56">
        <v>16119232</v>
      </c>
      <c r="E158" s="4"/>
      <c r="F158" s="65">
        <v>14330</v>
      </c>
      <c r="G158" s="4" t="s">
        <v>181</v>
      </c>
      <c r="H158" s="10"/>
      <c r="I158" s="3" t="s">
        <v>665</v>
      </c>
      <c r="J158" s="156" t="s">
        <v>666</v>
      </c>
      <c r="K158" s="150" t="s">
        <v>653</v>
      </c>
      <c r="L158" s="4"/>
    </row>
    <row r="159" spans="1:12" hidden="1">
      <c r="B159" s="3">
        <v>156</v>
      </c>
      <c r="C159" s="151" t="s">
        <v>574</v>
      </c>
      <c r="D159" s="56">
        <v>16119233</v>
      </c>
      <c r="E159" s="4"/>
      <c r="F159" s="65">
        <v>14272</v>
      </c>
      <c r="G159" s="4" t="s">
        <v>203</v>
      </c>
      <c r="H159" s="10"/>
      <c r="I159" s="3" t="s">
        <v>665</v>
      </c>
      <c r="J159" s="156" t="s">
        <v>666</v>
      </c>
      <c r="K159" s="150" t="s">
        <v>653</v>
      </c>
      <c r="L159" s="4"/>
    </row>
    <row r="160" spans="1:12" hidden="1">
      <c r="B160" s="3">
        <v>157</v>
      </c>
      <c r="C160" s="151" t="s">
        <v>574</v>
      </c>
      <c r="D160" s="56">
        <v>16119234</v>
      </c>
      <c r="E160" s="4"/>
      <c r="F160" s="65">
        <v>14230</v>
      </c>
      <c r="G160" s="4" t="s">
        <v>560</v>
      </c>
      <c r="H160" s="10"/>
      <c r="I160" s="3" t="s">
        <v>665</v>
      </c>
      <c r="J160" s="156" t="s">
        <v>666</v>
      </c>
      <c r="K160" s="150" t="s">
        <v>653</v>
      </c>
      <c r="L160" s="4"/>
    </row>
    <row r="161" spans="2:12" hidden="1">
      <c r="B161" s="3">
        <v>158</v>
      </c>
      <c r="C161" s="151" t="s">
        <v>574</v>
      </c>
      <c r="D161" s="56">
        <v>16119235</v>
      </c>
      <c r="E161" s="4"/>
      <c r="F161" s="65">
        <v>14229</v>
      </c>
      <c r="G161" s="151" t="s">
        <v>220</v>
      </c>
      <c r="H161" s="10"/>
      <c r="I161" s="3" t="s">
        <v>665</v>
      </c>
      <c r="J161" s="156" t="s">
        <v>666</v>
      </c>
      <c r="K161" s="150" t="s">
        <v>653</v>
      </c>
      <c r="L161" s="4"/>
    </row>
    <row r="162" spans="2:12" hidden="1">
      <c r="B162" s="3">
        <v>159</v>
      </c>
      <c r="C162" s="151" t="s">
        <v>574</v>
      </c>
      <c r="D162" s="56">
        <v>16119236</v>
      </c>
      <c r="E162" s="4"/>
      <c r="F162" s="65">
        <v>14228</v>
      </c>
      <c r="G162" s="4" t="s">
        <v>565</v>
      </c>
      <c r="H162" s="10"/>
      <c r="I162" s="3" t="s">
        <v>665</v>
      </c>
      <c r="J162" s="156" t="s">
        <v>666</v>
      </c>
      <c r="K162" s="150" t="s">
        <v>653</v>
      </c>
      <c r="L162" s="4"/>
    </row>
    <row r="163" spans="2:12" hidden="1">
      <c r="B163" s="3">
        <v>160</v>
      </c>
      <c r="C163" s="151" t="s">
        <v>574</v>
      </c>
      <c r="D163" s="56">
        <v>16119237</v>
      </c>
      <c r="E163" s="4"/>
      <c r="F163" s="65">
        <v>14227</v>
      </c>
      <c r="G163" s="4" t="s">
        <v>219</v>
      </c>
      <c r="H163" s="10"/>
      <c r="I163" s="3" t="s">
        <v>665</v>
      </c>
      <c r="J163" s="156" t="s">
        <v>666</v>
      </c>
      <c r="K163" s="150" t="s">
        <v>653</v>
      </c>
      <c r="L163" s="4"/>
    </row>
    <row r="164" spans="2:12" hidden="1">
      <c r="B164" s="3">
        <v>161</v>
      </c>
      <c r="C164" s="151" t="s">
        <v>574</v>
      </c>
      <c r="D164" s="56">
        <v>16119238</v>
      </c>
      <c r="F164" s="65">
        <v>14556</v>
      </c>
      <c r="G164" s="4" t="s">
        <v>181</v>
      </c>
      <c r="H164" s="10"/>
      <c r="I164" s="8" t="s">
        <v>674</v>
      </c>
      <c r="J164" s="156" t="s">
        <v>673</v>
      </c>
      <c r="K164" s="150" t="s">
        <v>653</v>
      </c>
      <c r="L164" s="4"/>
    </row>
    <row r="165" spans="2:12" hidden="1">
      <c r="B165" s="3">
        <v>162</v>
      </c>
      <c r="C165" s="151" t="s">
        <v>574</v>
      </c>
      <c r="D165" s="56">
        <v>16119239</v>
      </c>
      <c r="F165" s="65">
        <v>14502</v>
      </c>
      <c r="G165" s="4" t="s">
        <v>219</v>
      </c>
      <c r="H165" s="10"/>
      <c r="I165" s="8" t="s">
        <v>674</v>
      </c>
      <c r="J165" s="156" t="s">
        <v>673</v>
      </c>
      <c r="K165" s="150" t="s">
        <v>653</v>
      </c>
      <c r="L165" s="4"/>
    </row>
    <row r="166" spans="2:12" hidden="1">
      <c r="B166" s="3">
        <v>163</v>
      </c>
      <c r="C166" s="151" t="s">
        <v>574</v>
      </c>
      <c r="D166" s="56">
        <v>16119240</v>
      </c>
      <c r="F166" s="65">
        <v>14503</v>
      </c>
      <c r="G166" s="4" t="s">
        <v>565</v>
      </c>
      <c r="H166" s="10"/>
      <c r="I166" s="8" t="s">
        <v>674</v>
      </c>
      <c r="J166" s="156" t="s">
        <v>673</v>
      </c>
      <c r="K166" s="150" t="s">
        <v>653</v>
      </c>
      <c r="L166" s="4"/>
    </row>
    <row r="167" spans="2:12" hidden="1">
      <c r="B167" s="3">
        <v>164</v>
      </c>
      <c r="C167" s="151" t="s">
        <v>574</v>
      </c>
      <c r="D167" s="56">
        <v>16119241</v>
      </c>
      <c r="F167" s="65">
        <v>14501</v>
      </c>
      <c r="G167" s="151" t="s">
        <v>220</v>
      </c>
      <c r="H167" s="10"/>
      <c r="I167" s="8" t="s">
        <v>674</v>
      </c>
      <c r="J167" s="156" t="s">
        <v>673</v>
      </c>
      <c r="K167" s="150" t="s">
        <v>653</v>
      </c>
      <c r="L167" s="4"/>
    </row>
    <row r="168" spans="2:12" hidden="1">
      <c r="B168" s="150">
        <v>165</v>
      </c>
      <c r="C168" s="151" t="s">
        <v>574</v>
      </c>
      <c r="D168" s="152">
        <v>16119242</v>
      </c>
      <c r="F168" s="153">
        <v>14500</v>
      </c>
      <c r="G168" s="151" t="s">
        <v>560</v>
      </c>
      <c r="H168" s="154"/>
      <c r="I168" s="8" t="s">
        <v>674</v>
      </c>
      <c r="J168" s="156" t="s">
        <v>673</v>
      </c>
      <c r="K168" s="150" t="s">
        <v>653</v>
      </c>
      <c r="L168" s="4"/>
    </row>
    <row r="169" spans="2:12" hidden="1">
      <c r="B169" s="3">
        <v>166</v>
      </c>
      <c r="C169" s="151" t="s">
        <v>574</v>
      </c>
      <c r="D169" s="56">
        <v>16119243</v>
      </c>
      <c r="E169" s="4"/>
      <c r="F169" s="65">
        <v>14463</v>
      </c>
      <c r="G169" s="4" t="s">
        <v>203</v>
      </c>
      <c r="H169" s="10"/>
      <c r="I169" s="3" t="s">
        <v>515</v>
      </c>
      <c r="J169" s="12" t="s">
        <v>675</v>
      </c>
      <c r="K169" s="3" t="s">
        <v>653</v>
      </c>
      <c r="L169" s="4"/>
    </row>
    <row r="170" spans="2:12" ht="18.600000000000001" thickTop="1">
      <c r="B170" s="3">
        <v>167</v>
      </c>
      <c r="C170" s="151" t="s">
        <v>574</v>
      </c>
      <c r="D170" s="56">
        <v>16119244</v>
      </c>
      <c r="E170" s="4"/>
      <c r="F170" s="65">
        <v>14778</v>
      </c>
      <c r="G170" s="4" t="s">
        <v>565</v>
      </c>
      <c r="H170" s="154"/>
      <c r="I170" s="3" t="s">
        <v>33</v>
      </c>
      <c r="J170" s="144">
        <v>45645</v>
      </c>
      <c r="K170" s="3" t="s">
        <v>653</v>
      </c>
      <c r="L170" s="4"/>
    </row>
    <row r="171" spans="2:12">
      <c r="B171" s="3">
        <v>168</v>
      </c>
      <c r="C171" s="151" t="s">
        <v>574</v>
      </c>
      <c r="D171" s="56">
        <v>16119245</v>
      </c>
      <c r="E171" s="4"/>
      <c r="F171" s="65">
        <v>14758</v>
      </c>
      <c r="G171" s="4" t="s">
        <v>203</v>
      </c>
      <c r="H171" s="154"/>
      <c r="I171" s="3" t="s">
        <v>33</v>
      </c>
      <c r="J171" s="144">
        <v>45645</v>
      </c>
      <c r="K171" s="3" t="s">
        <v>653</v>
      </c>
      <c r="L171" s="4"/>
    </row>
    <row r="172" spans="2:12">
      <c r="B172" s="3">
        <v>169</v>
      </c>
      <c r="C172" s="151" t="s">
        <v>574</v>
      </c>
      <c r="D172" s="56">
        <v>16119246</v>
      </c>
      <c r="E172" s="4"/>
      <c r="F172" s="65">
        <v>14769</v>
      </c>
      <c r="G172" s="151" t="s">
        <v>560</v>
      </c>
      <c r="H172" s="154"/>
      <c r="I172" s="3" t="s">
        <v>33</v>
      </c>
      <c r="J172" s="144">
        <v>45645</v>
      </c>
      <c r="K172" s="3" t="s">
        <v>653</v>
      </c>
      <c r="L172" s="4"/>
    </row>
    <row r="173" spans="2:12">
      <c r="B173" s="3">
        <v>170</v>
      </c>
      <c r="C173" s="151" t="s">
        <v>574</v>
      </c>
      <c r="D173" s="56">
        <v>16119247</v>
      </c>
      <c r="E173" s="4"/>
      <c r="F173" s="65">
        <v>14768</v>
      </c>
      <c r="G173" s="151" t="s">
        <v>220</v>
      </c>
      <c r="H173" s="154"/>
      <c r="I173" s="3" t="s">
        <v>33</v>
      </c>
      <c r="J173" s="144">
        <v>45645</v>
      </c>
      <c r="K173" s="3" t="s">
        <v>653</v>
      </c>
      <c r="L173" s="4"/>
    </row>
    <row r="174" spans="2:12">
      <c r="B174" s="3">
        <v>171</v>
      </c>
      <c r="C174" s="151" t="s">
        <v>574</v>
      </c>
      <c r="D174" s="56">
        <v>16119248</v>
      </c>
      <c r="E174" s="4"/>
      <c r="F174" s="65">
        <v>14767</v>
      </c>
      <c r="G174" s="4" t="s">
        <v>219</v>
      </c>
      <c r="H174" s="10"/>
      <c r="I174" s="3" t="s">
        <v>33</v>
      </c>
      <c r="J174" s="144">
        <v>45645</v>
      </c>
      <c r="K174" s="3" t="s">
        <v>653</v>
      </c>
      <c r="L174" s="4"/>
    </row>
    <row r="175" spans="2:12">
      <c r="B175" s="3">
        <v>172</v>
      </c>
      <c r="C175" s="151" t="s">
        <v>574</v>
      </c>
      <c r="D175" s="56">
        <v>16119249</v>
      </c>
      <c r="E175" s="4"/>
      <c r="F175" s="65">
        <v>14730</v>
      </c>
      <c r="G175" s="4" t="s">
        <v>181</v>
      </c>
      <c r="H175" s="154"/>
      <c r="I175" s="3" t="s">
        <v>33</v>
      </c>
      <c r="J175" s="144">
        <v>45645</v>
      </c>
      <c r="K175" s="3" t="s">
        <v>653</v>
      </c>
      <c r="L175" s="4"/>
    </row>
    <row r="176" spans="2:12">
      <c r="B176" s="3">
        <v>173</v>
      </c>
      <c r="C176" s="151" t="s">
        <v>574</v>
      </c>
      <c r="D176" s="56">
        <v>16119250</v>
      </c>
      <c r="E176" s="4"/>
      <c r="F176" s="65">
        <v>15033</v>
      </c>
      <c r="G176" s="4" t="s">
        <v>565</v>
      </c>
      <c r="H176" s="154"/>
      <c r="I176" s="3" t="s">
        <v>518</v>
      </c>
      <c r="J176" s="144" t="s">
        <v>692</v>
      </c>
      <c r="K176" s="3" t="s">
        <v>653</v>
      </c>
      <c r="L176" s="4"/>
    </row>
    <row r="177" spans="2:12">
      <c r="B177" s="3">
        <v>174</v>
      </c>
      <c r="C177" s="151" t="s">
        <v>574</v>
      </c>
      <c r="D177" s="56">
        <v>16119251</v>
      </c>
      <c r="E177" s="4"/>
      <c r="F177" s="65">
        <v>15073</v>
      </c>
      <c r="G177" s="4" t="s">
        <v>203</v>
      </c>
      <c r="H177" s="154"/>
      <c r="I177" s="3" t="s">
        <v>518</v>
      </c>
      <c r="J177" s="144" t="s">
        <v>692</v>
      </c>
      <c r="K177" s="3" t="s">
        <v>653</v>
      </c>
      <c r="L177" s="4"/>
    </row>
    <row r="178" spans="2:12">
      <c r="B178" s="3">
        <v>175</v>
      </c>
      <c r="C178" s="151" t="s">
        <v>574</v>
      </c>
      <c r="D178" s="56">
        <v>16119252</v>
      </c>
      <c r="E178" s="4"/>
      <c r="F178" s="65">
        <v>15030</v>
      </c>
      <c r="G178" s="151" t="s">
        <v>560</v>
      </c>
      <c r="H178" s="154"/>
      <c r="I178" s="3" t="s">
        <v>518</v>
      </c>
      <c r="J178" s="144" t="s">
        <v>692</v>
      </c>
      <c r="K178" s="3" t="s">
        <v>653</v>
      </c>
      <c r="L178" s="4"/>
    </row>
    <row r="179" spans="2:12">
      <c r="B179" s="3">
        <v>176</v>
      </c>
      <c r="C179" s="151" t="s">
        <v>574</v>
      </c>
      <c r="D179" s="56">
        <v>16119253</v>
      </c>
      <c r="E179" s="4"/>
      <c r="F179" s="65">
        <v>15031</v>
      </c>
      <c r="G179" s="151" t="s">
        <v>220</v>
      </c>
      <c r="H179" s="154"/>
      <c r="I179" s="3" t="s">
        <v>518</v>
      </c>
      <c r="J179" s="144" t="s">
        <v>692</v>
      </c>
      <c r="K179" s="3" t="s">
        <v>653</v>
      </c>
      <c r="L179" s="4"/>
    </row>
    <row r="180" spans="2:12">
      <c r="B180" s="3">
        <v>177</v>
      </c>
      <c r="C180" s="151" t="s">
        <v>574</v>
      </c>
      <c r="D180" s="56">
        <v>16119254</v>
      </c>
      <c r="E180" s="4"/>
      <c r="F180" s="65">
        <v>15032</v>
      </c>
      <c r="G180" s="4" t="s">
        <v>219</v>
      </c>
      <c r="H180" s="10"/>
      <c r="I180" s="3" t="s">
        <v>518</v>
      </c>
      <c r="J180" s="144" t="s">
        <v>692</v>
      </c>
      <c r="K180" s="3" t="s">
        <v>653</v>
      </c>
      <c r="L180" s="4"/>
    </row>
    <row r="181" spans="2:12">
      <c r="B181" s="3">
        <v>178</v>
      </c>
      <c r="C181" s="151" t="s">
        <v>574</v>
      </c>
      <c r="D181" s="56">
        <v>16119255</v>
      </c>
      <c r="E181" s="4"/>
      <c r="F181" s="65">
        <v>15106</v>
      </c>
      <c r="G181" s="4" t="s">
        <v>181</v>
      </c>
      <c r="H181" s="154"/>
      <c r="I181" s="3" t="s">
        <v>518</v>
      </c>
      <c r="J181" s="144" t="s">
        <v>692</v>
      </c>
      <c r="K181" s="3" t="s">
        <v>653</v>
      </c>
      <c r="L181" s="4"/>
    </row>
    <row r="182" spans="2:12">
      <c r="B182" s="3">
        <v>179</v>
      </c>
      <c r="C182" s="151" t="s">
        <v>574</v>
      </c>
      <c r="D182" s="56">
        <v>16119256</v>
      </c>
      <c r="E182" s="4"/>
      <c r="F182" s="65">
        <v>15306</v>
      </c>
      <c r="G182" s="4" t="s">
        <v>565</v>
      </c>
      <c r="H182" s="154"/>
      <c r="I182" s="3" t="s">
        <v>217</v>
      </c>
      <c r="J182" s="144" t="s">
        <v>700</v>
      </c>
      <c r="K182" s="3" t="s">
        <v>653</v>
      </c>
      <c r="L182" s="4"/>
    </row>
    <row r="183" spans="2:12">
      <c r="B183" s="3">
        <v>180</v>
      </c>
      <c r="C183" s="151" t="s">
        <v>574</v>
      </c>
      <c r="D183" s="56">
        <v>16119257</v>
      </c>
      <c r="E183" s="4"/>
      <c r="F183" s="65">
        <v>15353</v>
      </c>
      <c r="G183" s="4" t="s">
        <v>203</v>
      </c>
      <c r="H183" s="154"/>
      <c r="I183" s="3" t="s">
        <v>217</v>
      </c>
      <c r="J183" s="144" t="s">
        <v>700</v>
      </c>
      <c r="K183" s="3" t="s">
        <v>653</v>
      </c>
      <c r="L183" s="4"/>
    </row>
    <row r="184" spans="2:12">
      <c r="B184" s="3">
        <v>181</v>
      </c>
      <c r="C184" s="151" t="s">
        <v>574</v>
      </c>
      <c r="D184" s="56">
        <v>16119258</v>
      </c>
      <c r="E184" s="4"/>
      <c r="F184" s="65">
        <v>15307</v>
      </c>
      <c r="G184" s="151" t="s">
        <v>560</v>
      </c>
      <c r="H184" s="154"/>
      <c r="I184" s="3" t="s">
        <v>217</v>
      </c>
      <c r="J184" s="144" t="s">
        <v>700</v>
      </c>
      <c r="K184" s="3" t="s">
        <v>653</v>
      </c>
      <c r="L184" s="4"/>
    </row>
    <row r="185" spans="2:12">
      <c r="B185" s="3">
        <v>182</v>
      </c>
      <c r="C185" s="151" t="s">
        <v>574</v>
      </c>
      <c r="D185" s="56">
        <v>16119259</v>
      </c>
      <c r="E185" s="4"/>
      <c r="F185" s="65">
        <v>15308</v>
      </c>
      <c r="G185" s="151" t="s">
        <v>220</v>
      </c>
      <c r="H185" s="154"/>
      <c r="I185" s="3" t="s">
        <v>217</v>
      </c>
      <c r="J185" s="144" t="s">
        <v>700</v>
      </c>
      <c r="K185" s="3" t="s">
        <v>653</v>
      </c>
      <c r="L185" s="4"/>
    </row>
    <row r="186" spans="2:12">
      <c r="B186" s="3">
        <v>183</v>
      </c>
      <c r="C186" s="151" t="s">
        <v>574</v>
      </c>
      <c r="D186" s="56">
        <v>16119260</v>
      </c>
      <c r="E186" s="4"/>
      <c r="F186" s="65">
        <v>15305</v>
      </c>
      <c r="G186" s="4" t="s">
        <v>219</v>
      </c>
      <c r="H186" s="154"/>
      <c r="I186" s="3" t="s">
        <v>217</v>
      </c>
      <c r="J186" s="144" t="s">
        <v>700</v>
      </c>
      <c r="K186" s="3" t="s">
        <v>653</v>
      </c>
      <c r="L186" s="4"/>
    </row>
    <row r="187" spans="2:12">
      <c r="B187" s="3">
        <v>184</v>
      </c>
      <c r="C187" s="151" t="s">
        <v>574</v>
      </c>
      <c r="D187" s="56">
        <v>16119261</v>
      </c>
      <c r="E187" s="4"/>
      <c r="F187" s="65">
        <v>15328</v>
      </c>
      <c r="G187" s="4" t="s">
        <v>181</v>
      </c>
      <c r="H187" s="154"/>
      <c r="I187" s="3" t="s">
        <v>217</v>
      </c>
      <c r="J187" s="144" t="s">
        <v>700</v>
      </c>
      <c r="K187" s="3" t="s">
        <v>653</v>
      </c>
      <c r="L187" s="4"/>
    </row>
    <row r="188" spans="2:12">
      <c r="B188" s="3">
        <v>185</v>
      </c>
      <c r="C188" s="151" t="s">
        <v>574</v>
      </c>
      <c r="D188" s="56">
        <v>16119262</v>
      </c>
      <c r="E188" s="4"/>
      <c r="F188" s="65" t="s">
        <v>738</v>
      </c>
      <c r="G188" s="4" t="s">
        <v>219</v>
      </c>
      <c r="H188" s="10"/>
      <c r="I188" s="3" t="s">
        <v>719</v>
      </c>
      <c r="J188" s="168">
        <v>45744</v>
      </c>
      <c r="K188" s="3" t="s">
        <v>720</v>
      </c>
      <c r="L188" s="4"/>
    </row>
    <row r="189" spans="2:12">
      <c r="B189" s="3">
        <v>186</v>
      </c>
      <c r="C189" s="151" t="s">
        <v>574</v>
      </c>
      <c r="D189" s="56">
        <v>16119263</v>
      </c>
      <c r="E189" s="4"/>
      <c r="F189" s="65" t="s">
        <v>739</v>
      </c>
      <c r="G189" s="4" t="s">
        <v>740</v>
      </c>
      <c r="H189" s="10"/>
      <c r="I189" s="3" t="s">
        <v>719</v>
      </c>
      <c r="J189" s="168">
        <v>45744</v>
      </c>
      <c r="K189" s="3" t="s">
        <v>720</v>
      </c>
      <c r="L189" s="4"/>
    </row>
    <row r="190" spans="2:12">
      <c r="B190" s="3">
        <v>187</v>
      </c>
      <c r="C190" s="151" t="s">
        <v>574</v>
      </c>
      <c r="D190" s="56">
        <v>16119264</v>
      </c>
      <c r="E190" s="4"/>
      <c r="F190" s="65" t="s">
        <v>741</v>
      </c>
      <c r="G190" s="4" t="s">
        <v>220</v>
      </c>
      <c r="H190" s="10"/>
      <c r="I190" s="3" t="s">
        <v>719</v>
      </c>
      <c r="J190" s="168">
        <v>45744</v>
      </c>
      <c r="K190" s="3" t="s">
        <v>720</v>
      </c>
      <c r="L190" s="4"/>
    </row>
    <row r="191" spans="2:12">
      <c r="B191" s="3">
        <v>188</v>
      </c>
      <c r="C191" s="151" t="s">
        <v>574</v>
      </c>
      <c r="D191" s="56">
        <v>16119265</v>
      </c>
      <c r="E191" s="4"/>
      <c r="F191" s="65" t="s">
        <v>742</v>
      </c>
      <c r="G191" s="4" t="s">
        <v>181</v>
      </c>
      <c r="H191" s="10"/>
      <c r="I191" s="3" t="s">
        <v>80</v>
      </c>
      <c r="J191" s="168">
        <v>45747</v>
      </c>
      <c r="K191" s="3" t="s">
        <v>710</v>
      </c>
      <c r="L191" s="4"/>
    </row>
    <row r="192" spans="2:12">
      <c r="B192" s="3">
        <v>189</v>
      </c>
      <c r="C192" s="151" t="s">
        <v>574</v>
      </c>
      <c r="D192" s="56">
        <v>16119266</v>
      </c>
      <c r="E192" s="4"/>
      <c r="F192" s="65" t="s">
        <v>747</v>
      </c>
      <c r="G192" s="4" t="s">
        <v>565</v>
      </c>
      <c r="H192" s="10"/>
      <c r="I192" s="3" t="s">
        <v>80</v>
      </c>
      <c r="J192" s="168">
        <v>45754</v>
      </c>
      <c r="K192" s="3" t="s">
        <v>710</v>
      </c>
      <c r="L192" s="4"/>
    </row>
    <row r="193" spans="2:12">
      <c r="B193" s="3">
        <v>190</v>
      </c>
      <c r="C193" s="151" t="s">
        <v>574</v>
      </c>
      <c r="D193" s="56">
        <v>16119267</v>
      </c>
      <c r="E193" s="4"/>
      <c r="F193" s="65">
        <v>15768</v>
      </c>
      <c r="G193" s="4" t="s">
        <v>203</v>
      </c>
      <c r="H193" s="10"/>
      <c r="I193" s="3" t="s">
        <v>80</v>
      </c>
      <c r="J193" s="168">
        <v>45762</v>
      </c>
      <c r="K193" s="3" t="s">
        <v>710</v>
      </c>
      <c r="L193" s="4"/>
    </row>
    <row r="194" spans="2:12">
      <c r="B194" s="3">
        <v>191</v>
      </c>
      <c r="C194" s="151" t="s">
        <v>574</v>
      </c>
      <c r="D194" s="56">
        <v>16119268</v>
      </c>
      <c r="E194" s="4"/>
      <c r="F194" s="65" t="s">
        <v>757</v>
      </c>
      <c r="G194" s="4" t="s">
        <v>181</v>
      </c>
      <c r="H194" s="10"/>
      <c r="I194" s="3" t="s">
        <v>758</v>
      </c>
      <c r="J194" s="168">
        <v>45784</v>
      </c>
      <c r="K194" s="3" t="s">
        <v>710</v>
      </c>
      <c r="L194" s="4"/>
    </row>
    <row r="195" spans="2:12">
      <c r="B195" s="3">
        <v>192</v>
      </c>
      <c r="C195" s="151" t="s">
        <v>574</v>
      </c>
      <c r="D195" s="56">
        <v>16119269</v>
      </c>
      <c r="E195" s="4"/>
      <c r="F195" s="65" t="s">
        <v>759</v>
      </c>
      <c r="G195" s="4" t="s">
        <v>220</v>
      </c>
      <c r="H195" s="10"/>
      <c r="I195" s="3" t="s">
        <v>758</v>
      </c>
      <c r="J195" s="168">
        <v>45784</v>
      </c>
      <c r="K195" s="3" t="s">
        <v>710</v>
      </c>
      <c r="L195" s="4"/>
    </row>
    <row r="196" spans="2:12">
      <c r="B196" s="3">
        <v>193</v>
      </c>
      <c r="C196" s="151" t="s">
        <v>574</v>
      </c>
      <c r="D196" s="56">
        <v>16119270</v>
      </c>
      <c r="E196" s="4"/>
      <c r="F196" s="65" t="s">
        <v>760</v>
      </c>
      <c r="G196" s="4" t="s">
        <v>219</v>
      </c>
      <c r="H196" s="10"/>
      <c r="I196" s="3" t="s">
        <v>758</v>
      </c>
      <c r="J196" s="168">
        <v>45784</v>
      </c>
      <c r="K196" s="3" t="s">
        <v>710</v>
      </c>
      <c r="L196" s="4"/>
    </row>
    <row r="197" spans="2:12">
      <c r="B197" s="3">
        <v>194</v>
      </c>
      <c r="C197" s="151" t="s">
        <v>574</v>
      </c>
      <c r="D197" s="56">
        <v>16119271</v>
      </c>
      <c r="E197" s="4"/>
      <c r="F197" s="65" t="s">
        <v>761</v>
      </c>
      <c r="G197" s="4" t="s">
        <v>740</v>
      </c>
      <c r="H197" s="10"/>
      <c r="I197" s="3" t="s">
        <v>758</v>
      </c>
      <c r="J197" s="168">
        <v>45784</v>
      </c>
      <c r="K197" s="3" t="s">
        <v>710</v>
      </c>
      <c r="L197" s="4"/>
    </row>
    <row r="198" spans="2:12">
      <c r="B198" s="3">
        <v>195</v>
      </c>
      <c r="C198" s="151" t="s">
        <v>574</v>
      </c>
      <c r="D198" s="56">
        <v>16119272</v>
      </c>
      <c r="E198" s="4"/>
      <c r="F198" s="65" t="s">
        <v>762</v>
      </c>
      <c r="G198" s="4" t="s">
        <v>565</v>
      </c>
      <c r="H198" s="10"/>
      <c r="I198" s="3" t="s">
        <v>758</v>
      </c>
      <c r="J198" s="168">
        <v>45784</v>
      </c>
      <c r="K198" s="3" t="s">
        <v>710</v>
      </c>
      <c r="L198" s="4"/>
    </row>
    <row r="199" spans="2:12">
      <c r="B199" s="3">
        <v>196</v>
      </c>
      <c r="C199" s="151" t="s">
        <v>574</v>
      </c>
      <c r="D199" s="56">
        <v>16119273</v>
      </c>
      <c r="E199" s="4"/>
      <c r="F199" s="65" t="s">
        <v>763</v>
      </c>
      <c r="G199" s="4" t="s">
        <v>203</v>
      </c>
      <c r="H199" s="10"/>
      <c r="I199" s="3" t="s">
        <v>758</v>
      </c>
      <c r="J199" s="168">
        <v>45784</v>
      </c>
      <c r="K199" s="3" t="s">
        <v>710</v>
      </c>
      <c r="L199" s="4"/>
    </row>
    <row r="200" spans="2:12">
      <c r="B200" s="3">
        <v>197</v>
      </c>
      <c r="C200" s="151" t="s">
        <v>574</v>
      </c>
      <c r="D200" s="56">
        <v>16119274</v>
      </c>
      <c r="E200" s="4"/>
      <c r="F200" s="65">
        <v>16124</v>
      </c>
      <c r="G200" s="4" t="s">
        <v>565</v>
      </c>
      <c r="H200" s="10"/>
      <c r="I200" s="3" t="s">
        <v>788</v>
      </c>
      <c r="J200" s="168">
        <v>45798</v>
      </c>
      <c r="K200" s="3" t="s">
        <v>710</v>
      </c>
      <c r="L200" s="4"/>
    </row>
    <row r="201" spans="2:12">
      <c r="B201" s="3">
        <v>198</v>
      </c>
      <c r="C201" s="151" t="s">
        <v>574</v>
      </c>
      <c r="D201" s="56">
        <v>16119275</v>
      </c>
      <c r="E201" s="4"/>
      <c r="F201" s="65">
        <v>16125</v>
      </c>
      <c r="G201" s="4" t="s">
        <v>740</v>
      </c>
      <c r="H201" s="10"/>
      <c r="I201" s="3" t="s">
        <v>788</v>
      </c>
      <c r="J201" s="168">
        <v>45798</v>
      </c>
      <c r="K201" s="3" t="s">
        <v>710</v>
      </c>
      <c r="L201" s="4"/>
    </row>
    <row r="202" spans="2:12">
      <c r="B202" s="3">
        <v>199</v>
      </c>
      <c r="C202" s="151" t="s">
        <v>574</v>
      </c>
      <c r="D202" s="56">
        <v>16119276</v>
      </c>
      <c r="E202" s="4"/>
      <c r="F202" s="65">
        <v>16126</v>
      </c>
      <c r="G202" s="4" t="s">
        <v>219</v>
      </c>
      <c r="H202" s="10"/>
      <c r="I202" s="3" t="s">
        <v>788</v>
      </c>
      <c r="J202" s="168">
        <v>45798</v>
      </c>
      <c r="K202" s="3" t="s">
        <v>710</v>
      </c>
      <c r="L202" s="4"/>
    </row>
    <row r="203" spans="2:12">
      <c r="B203" s="3">
        <v>200</v>
      </c>
      <c r="C203" s="151" t="s">
        <v>574</v>
      </c>
      <c r="D203" s="56">
        <v>16119277</v>
      </c>
      <c r="E203" s="4"/>
      <c r="F203" s="65">
        <v>16127</v>
      </c>
      <c r="G203" s="4" t="s">
        <v>220</v>
      </c>
      <c r="H203" s="10"/>
      <c r="I203" s="3" t="s">
        <v>788</v>
      </c>
      <c r="J203" s="168">
        <v>45798</v>
      </c>
      <c r="K203" s="3" t="s">
        <v>710</v>
      </c>
      <c r="L203" s="4"/>
    </row>
    <row r="204" spans="2:12">
      <c r="B204" s="3">
        <v>201</v>
      </c>
      <c r="C204" s="151" t="s">
        <v>574</v>
      </c>
      <c r="D204" s="56">
        <v>16119278</v>
      </c>
      <c r="E204" s="4"/>
      <c r="F204" s="65">
        <v>16122</v>
      </c>
      <c r="G204" s="4" t="s">
        <v>181</v>
      </c>
      <c r="H204" s="10"/>
      <c r="I204" s="3" t="s">
        <v>156</v>
      </c>
      <c r="J204" s="168">
        <v>45805</v>
      </c>
      <c r="K204" s="3" t="s">
        <v>710</v>
      </c>
      <c r="L204" s="4"/>
    </row>
    <row r="205" spans="2:12">
      <c r="B205" s="3">
        <v>202</v>
      </c>
      <c r="C205" s="151" t="s">
        <v>574</v>
      </c>
      <c r="D205" s="56">
        <v>16119279</v>
      </c>
      <c r="E205" s="4"/>
      <c r="F205" s="65">
        <v>16123</v>
      </c>
      <c r="G205" s="4" t="s">
        <v>203</v>
      </c>
      <c r="H205" s="10"/>
      <c r="I205" s="3" t="s">
        <v>156</v>
      </c>
      <c r="J205" s="168">
        <v>45805</v>
      </c>
      <c r="K205" s="3" t="s">
        <v>710</v>
      </c>
      <c r="L205" s="4"/>
    </row>
    <row r="206" spans="2:12">
      <c r="B206" s="3">
        <v>203</v>
      </c>
      <c r="C206" s="151" t="s">
        <v>574</v>
      </c>
      <c r="D206" s="56">
        <v>16119280</v>
      </c>
      <c r="E206" s="4"/>
      <c r="F206" s="65">
        <v>16335</v>
      </c>
      <c r="G206" s="4" t="s">
        <v>565</v>
      </c>
      <c r="H206" s="10"/>
      <c r="I206" s="3" t="s">
        <v>635</v>
      </c>
      <c r="J206" s="168">
        <v>45835</v>
      </c>
      <c r="K206" s="3" t="s">
        <v>653</v>
      </c>
      <c r="L206" s="4"/>
    </row>
    <row r="207" spans="2:12">
      <c r="B207" s="3">
        <v>204</v>
      </c>
      <c r="C207" s="151" t="s">
        <v>574</v>
      </c>
      <c r="D207" s="56">
        <v>16119281</v>
      </c>
      <c r="E207" s="4"/>
      <c r="F207" s="65">
        <v>16332</v>
      </c>
      <c r="G207" s="4" t="s">
        <v>740</v>
      </c>
      <c r="H207" s="10"/>
      <c r="I207" s="3" t="s">
        <v>635</v>
      </c>
      <c r="J207" s="168">
        <v>45835</v>
      </c>
      <c r="K207" s="3" t="s">
        <v>653</v>
      </c>
      <c r="L207" s="4"/>
    </row>
    <row r="208" spans="2:12">
      <c r="B208" s="3">
        <v>205</v>
      </c>
      <c r="C208" s="151" t="s">
        <v>574</v>
      </c>
      <c r="D208" s="56">
        <v>16119282</v>
      </c>
      <c r="E208" s="4"/>
      <c r="F208" s="65">
        <v>16333</v>
      </c>
      <c r="G208" s="4" t="s">
        <v>219</v>
      </c>
      <c r="H208" s="10"/>
      <c r="I208" s="3" t="s">
        <v>635</v>
      </c>
      <c r="J208" s="168">
        <v>45835</v>
      </c>
      <c r="K208" s="3" t="s">
        <v>653</v>
      </c>
      <c r="L208" s="4"/>
    </row>
    <row r="209" spans="2:12">
      <c r="B209" s="3">
        <v>206</v>
      </c>
      <c r="C209" s="151" t="s">
        <v>574</v>
      </c>
      <c r="D209" s="56">
        <v>16119283</v>
      </c>
      <c r="E209" s="4"/>
      <c r="F209" s="65">
        <v>16334</v>
      </c>
      <c r="G209" s="4" t="s">
        <v>220</v>
      </c>
      <c r="H209" s="10"/>
      <c r="I209" s="3" t="s">
        <v>635</v>
      </c>
      <c r="J209" s="168">
        <v>45835</v>
      </c>
      <c r="K209" s="3" t="s">
        <v>653</v>
      </c>
      <c r="L209" s="4"/>
    </row>
    <row r="210" spans="2:12">
      <c r="B210" s="3">
        <v>207</v>
      </c>
      <c r="C210" s="4" t="s">
        <v>574</v>
      </c>
      <c r="D210" s="56">
        <v>16119284</v>
      </c>
      <c r="E210" s="4"/>
      <c r="F210" s="65">
        <v>16336</v>
      </c>
      <c r="G210" s="4" t="s">
        <v>181</v>
      </c>
      <c r="H210" s="10"/>
      <c r="I210" s="3" t="s">
        <v>635</v>
      </c>
      <c r="J210" s="168">
        <v>45835</v>
      </c>
      <c r="K210" s="3" t="s">
        <v>653</v>
      </c>
      <c r="L210" s="4"/>
    </row>
    <row r="211" spans="2:12">
      <c r="B211" s="3">
        <v>208</v>
      </c>
      <c r="C211" s="4" t="s">
        <v>574</v>
      </c>
      <c r="D211" s="56">
        <v>16119285</v>
      </c>
      <c r="E211" s="4"/>
      <c r="F211" s="65">
        <v>16385</v>
      </c>
      <c r="G211" s="4" t="s">
        <v>203</v>
      </c>
      <c r="H211" s="10"/>
      <c r="I211" s="3" t="s">
        <v>635</v>
      </c>
      <c r="J211" s="168">
        <v>45835</v>
      </c>
      <c r="K211" s="3" t="s">
        <v>653</v>
      </c>
      <c r="L211" s="4"/>
    </row>
    <row r="212" spans="2:12">
      <c r="B212" s="3">
        <v>209</v>
      </c>
      <c r="C212" s="151" t="s">
        <v>574</v>
      </c>
      <c r="D212" s="56">
        <v>16119286</v>
      </c>
      <c r="E212" s="4"/>
      <c r="F212" s="65">
        <v>16677</v>
      </c>
      <c r="G212" s="4" t="s">
        <v>565</v>
      </c>
      <c r="H212" s="10"/>
      <c r="I212" s="3" t="s">
        <v>640</v>
      </c>
      <c r="J212" s="168">
        <v>45855</v>
      </c>
      <c r="K212" s="3" t="s">
        <v>653</v>
      </c>
      <c r="L212" s="4"/>
    </row>
    <row r="213" spans="2:12">
      <c r="B213" s="3">
        <v>210</v>
      </c>
      <c r="C213" s="151" t="s">
        <v>574</v>
      </c>
      <c r="D213" s="56">
        <v>16119287</v>
      </c>
      <c r="E213" s="4"/>
      <c r="F213" s="65">
        <v>16676</v>
      </c>
      <c r="G213" s="4" t="s">
        <v>740</v>
      </c>
      <c r="H213" s="10"/>
      <c r="I213" s="3" t="s">
        <v>640</v>
      </c>
      <c r="J213" s="168">
        <v>45855</v>
      </c>
      <c r="K213" s="3" t="s">
        <v>653</v>
      </c>
      <c r="L213" s="4"/>
    </row>
    <row r="214" spans="2:12">
      <c r="B214" s="3">
        <v>211</v>
      </c>
      <c r="C214" s="151" t="s">
        <v>574</v>
      </c>
      <c r="D214" s="56">
        <v>16119288</v>
      </c>
      <c r="E214" s="4"/>
      <c r="F214" s="65">
        <v>16675</v>
      </c>
      <c r="G214" s="4" t="s">
        <v>219</v>
      </c>
      <c r="H214" s="10"/>
      <c r="I214" s="3" t="s">
        <v>640</v>
      </c>
      <c r="J214" s="168">
        <v>45855</v>
      </c>
      <c r="K214" s="3" t="s">
        <v>653</v>
      </c>
      <c r="L214" s="4"/>
    </row>
    <row r="215" spans="2:12">
      <c r="B215" s="3">
        <v>212</v>
      </c>
      <c r="C215" s="151" t="s">
        <v>574</v>
      </c>
      <c r="D215" s="56">
        <v>16119289</v>
      </c>
      <c r="E215" s="4"/>
      <c r="F215" s="65">
        <v>16674</v>
      </c>
      <c r="G215" s="4" t="s">
        <v>220</v>
      </c>
      <c r="H215" s="10"/>
      <c r="I215" s="3" t="s">
        <v>640</v>
      </c>
      <c r="J215" s="168">
        <v>45855</v>
      </c>
      <c r="K215" s="3" t="s">
        <v>653</v>
      </c>
      <c r="L215" s="4"/>
    </row>
    <row r="216" spans="2:12">
      <c r="B216" s="3">
        <v>213</v>
      </c>
      <c r="C216" s="4" t="s">
        <v>574</v>
      </c>
      <c r="D216" s="56">
        <v>16119290</v>
      </c>
      <c r="E216" s="4"/>
      <c r="F216" s="65">
        <v>16645</v>
      </c>
      <c r="G216" s="4" t="s">
        <v>181</v>
      </c>
      <c r="H216" s="10"/>
      <c r="I216" s="3" t="s">
        <v>640</v>
      </c>
      <c r="J216" s="168">
        <v>45855</v>
      </c>
      <c r="K216" s="3" t="s">
        <v>653</v>
      </c>
      <c r="L216" s="4"/>
    </row>
    <row r="217" spans="2:12">
      <c r="B217" s="3">
        <v>214</v>
      </c>
      <c r="C217" s="4" t="s">
        <v>574</v>
      </c>
      <c r="D217" s="56">
        <v>16119291</v>
      </c>
      <c r="E217" s="4"/>
      <c r="F217" s="65">
        <v>16599</v>
      </c>
      <c r="G217" s="4" t="s">
        <v>203</v>
      </c>
      <c r="H217" s="10"/>
      <c r="I217" s="3" t="s">
        <v>640</v>
      </c>
      <c r="J217" s="168">
        <v>45855</v>
      </c>
      <c r="K217" s="3" t="s">
        <v>653</v>
      </c>
      <c r="L217" s="4"/>
    </row>
    <row r="218" spans="2:12">
      <c r="B218" s="3">
        <v>215</v>
      </c>
      <c r="C218" s="151" t="s">
        <v>574</v>
      </c>
      <c r="D218" s="56">
        <v>16119292</v>
      </c>
      <c r="E218" s="4"/>
      <c r="F218" s="65">
        <v>16924</v>
      </c>
      <c r="G218" s="4" t="s">
        <v>565</v>
      </c>
      <c r="H218" s="10"/>
      <c r="I218" s="3" t="s">
        <v>85</v>
      </c>
      <c r="J218" s="168">
        <v>45889</v>
      </c>
      <c r="K218" s="3" t="s">
        <v>653</v>
      </c>
      <c r="L218" s="4"/>
    </row>
    <row r="219" spans="2:12">
      <c r="B219" s="3">
        <v>216</v>
      </c>
      <c r="C219" s="151" t="s">
        <v>574</v>
      </c>
      <c r="D219" s="56">
        <v>16119293</v>
      </c>
      <c r="E219" s="4"/>
      <c r="F219" s="65">
        <v>16925</v>
      </c>
      <c r="G219" s="4" t="s">
        <v>740</v>
      </c>
      <c r="H219" s="10"/>
      <c r="I219" s="3" t="s">
        <v>85</v>
      </c>
      <c r="J219" s="168">
        <v>45889</v>
      </c>
      <c r="K219" s="3" t="s">
        <v>653</v>
      </c>
      <c r="L219" s="4"/>
    </row>
    <row r="220" spans="2:12">
      <c r="B220" s="3">
        <v>217</v>
      </c>
      <c r="C220" s="151" t="s">
        <v>574</v>
      </c>
      <c r="D220" s="56">
        <v>16119294</v>
      </c>
      <c r="E220" s="4"/>
      <c r="F220" s="65">
        <v>16926</v>
      </c>
      <c r="G220" s="4" t="s">
        <v>203</v>
      </c>
      <c r="H220" s="10"/>
      <c r="I220" s="3" t="s">
        <v>85</v>
      </c>
      <c r="J220" s="168">
        <v>45889</v>
      </c>
      <c r="K220" s="3" t="s">
        <v>653</v>
      </c>
      <c r="L220" s="4"/>
    </row>
    <row r="221" spans="2:12">
      <c r="B221" s="3">
        <v>218</v>
      </c>
      <c r="C221" s="4" t="s">
        <v>574</v>
      </c>
      <c r="D221" s="56">
        <v>16119295</v>
      </c>
      <c r="E221" s="4"/>
      <c r="F221" s="65">
        <v>17004</v>
      </c>
      <c r="G221" s="4" t="s">
        <v>181</v>
      </c>
      <c r="H221" s="10"/>
      <c r="I221" s="3" t="s">
        <v>85</v>
      </c>
      <c r="J221" s="168">
        <v>45889</v>
      </c>
      <c r="K221" s="3" t="s">
        <v>653</v>
      </c>
      <c r="L221" s="4"/>
    </row>
    <row r="222" spans="2:12">
      <c r="B222" s="3">
        <v>219</v>
      </c>
      <c r="C222" s="4" t="s">
        <v>574</v>
      </c>
      <c r="D222" s="56">
        <v>16119296</v>
      </c>
      <c r="E222" s="4"/>
      <c r="F222" s="65">
        <v>16923</v>
      </c>
      <c r="G222" s="4" t="s">
        <v>219</v>
      </c>
      <c r="H222" s="10"/>
      <c r="I222" s="3" t="s">
        <v>85</v>
      </c>
      <c r="J222" s="168">
        <v>45889</v>
      </c>
      <c r="K222" s="3" t="s">
        <v>653</v>
      </c>
      <c r="L222" s="4"/>
    </row>
    <row r="223" spans="2:12">
      <c r="B223" s="3">
        <v>220</v>
      </c>
      <c r="C223" s="4" t="s">
        <v>574</v>
      </c>
      <c r="D223" s="56">
        <v>16119297</v>
      </c>
      <c r="E223" s="4"/>
      <c r="F223" s="65">
        <v>16922</v>
      </c>
      <c r="G223" s="4" t="s">
        <v>220</v>
      </c>
      <c r="H223" s="10"/>
      <c r="I223" s="3" t="s">
        <v>85</v>
      </c>
      <c r="J223" s="168">
        <v>45889</v>
      </c>
      <c r="K223" s="3" t="s">
        <v>653</v>
      </c>
      <c r="L223" s="4"/>
    </row>
    <row r="224" spans="2:12">
      <c r="B224" s="3">
        <v>221</v>
      </c>
      <c r="C224" s="4" t="s">
        <v>574</v>
      </c>
      <c r="D224" s="56">
        <v>16119298</v>
      </c>
      <c r="E224" s="4"/>
      <c r="F224" s="65">
        <v>16676</v>
      </c>
      <c r="G224" s="4" t="s">
        <v>740</v>
      </c>
      <c r="H224" s="10"/>
      <c r="I224" s="3" t="s">
        <v>640</v>
      </c>
      <c r="J224" s="168">
        <v>45894</v>
      </c>
      <c r="K224" s="3" t="s">
        <v>653</v>
      </c>
      <c r="L224" s="4" t="s">
        <v>823</v>
      </c>
    </row>
    <row r="225" spans="2:12">
      <c r="B225" s="3">
        <v>222</v>
      </c>
      <c r="C225" s="151" t="s">
        <v>574</v>
      </c>
      <c r="D225" s="56">
        <v>16119299</v>
      </c>
      <c r="E225" s="4"/>
      <c r="F225" s="65">
        <v>17132</v>
      </c>
      <c r="G225" s="4" t="s">
        <v>203</v>
      </c>
      <c r="H225" s="10"/>
      <c r="I225" s="3" t="s">
        <v>481</v>
      </c>
      <c r="J225" s="168">
        <v>45916</v>
      </c>
      <c r="K225" s="3" t="s">
        <v>653</v>
      </c>
      <c r="L225" s="4"/>
    </row>
    <row r="226" spans="2:12">
      <c r="B226" s="3">
        <v>223</v>
      </c>
      <c r="C226" s="4" t="s">
        <v>574</v>
      </c>
      <c r="D226" s="56">
        <v>16119300</v>
      </c>
      <c r="E226" s="4"/>
      <c r="F226" s="65">
        <v>17288</v>
      </c>
      <c r="G226" s="4" t="s">
        <v>740</v>
      </c>
      <c r="H226" s="10"/>
      <c r="I226" s="3" t="s">
        <v>481</v>
      </c>
      <c r="J226" s="168">
        <v>45916</v>
      </c>
      <c r="K226" s="3" t="s">
        <v>653</v>
      </c>
      <c r="L226" s="4"/>
    </row>
    <row r="227" spans="2:12">
      <c r="B227" s="3">
        <v>224</v>
      </c>
      <c r="C227" s="4" t="s">
        <v>574</v>
      </c>
      <c r="D227" s="56">
        <v>16119301</v>
      </c>
      <c r="F227" s="65">
        <v>17190</v>
      </c>
      <c r="G227" s="4" t="s">
        <v>220</v>
      </c>
      <c r="H227" s="10"/>
      <c r="I227" s="3" t="s">
        <v>481</v>
      </c>
      <c r="J227" s="168">
        <v>45916</v>
      </c>
      <c r="K227" s="3" t="s">
        <v>653</v>
      </c>
    </row>
    <row r="228" spans="2:12">
      <c r="B228" s="3">
        <v>225</v>
      </c>
      <c r="C228" s="4" t="s">
        <v>574</v>
      </c>
      <c r="D228" s="56">
        <v>16119302</v>
      </c>
      <c r="F228" s="65">
        <v>17191</v>
      </c>
      <c r="G228" s="4" t="s">
        <v>565</v>
      </c>
      <c r="H228" s="10"/>
      <c r="I228" s="3" t="s">
        <v>481</v>
      </c>
      <c r="J228" s="168">
        <v>45916</v>
      </c>
      <c r="K228" s="3" t="s">
        <v>653</v>
      </c>
    </row>
    <row r="229" spans="2:12">
      <c r="B229" s="3">
        <v>226</v>
      </c>
      <c r="C229" s="4" t="s">
        <v>574</v>
      </c>
      <c r="D229" s="56">
        <v>16119303</v>
      </c>
      <c r="F229" s="65">
        <v>17189</v>
      </c>
      <c r="G229" s="4" t="s">
        <v>219</v>
      </c>
      <c r="H229" s="10"/>
      <c r="I229" s="3" t="s">
        <v>481</v>
      </c>
      <c r="J229" s="168">
        <v>45916</v>
      </c>
      <c r="K229" s="3" t="s">
        <v>653</v>
      </c>
    </row>
    <row r="230" spans="2:12">
      <c r="B230" s="3">
        <v>227</v>
      </c>
      <c r="C230" s="4" t="s">
        <v>574</v>
      </c>
      <c r="D230" s="56">
        <v>16119304</v>
      </c>
      <c r="F230" s="65">
        <v>17240</v>
      </c>
      <c r="G230" s="4" t="s">
        <v>181</v>
      </c>
      <c r="H230" s="10"/>
      <c r="I230" s="3" t="s">
        <v>481</v>
      </c>
      <c r="J230" s="168">
        <v>45916</v>
      </c>
      <c r="K230" s="3" t="s">
        <v>653</v>
      </c>
    </row>
    <row r="231" spans="2:12">
      <c r="B231" s="3">
        <v>228</v>
      </c>
      <c r="C231" s="151" t="s">
        <v>574</v>
      </c>
      <c r="D231" s="56">
        <v>16119305</v>
      </c>
      <c r="F231" s="65">
        <v>17425</v>
      </c>
      <c r="G231" s="4" t="s">
        <v>203</v>
      </c>
      <c r="H231" s="10"/>
      <c r="I231" s="3" t="s">
        <v>661</v>
      </c>
      <c r="J231" s="168">
        <v>45946</v>
      </c>
      <c r="K231" s="3" t="s">
        <v>653</v>
      </c>
    </row>
    <row r="232" spans="2:12">
      <c r="B232" s="3">
        <v>229</v>
      </c>
      <c r="C232" s="4" t="s">
        <v>574</v>
      </c>
      <c r="D232" s="56">
        <v>16119306</v>
      </c>
      <c r="F232" s="65">
        <v>17468</v>
      </c>
      <c r="G232" s="4" t="s">
        <v>740</v>
      </c>
      <c r="H232" s="10"/>
      <c r="I232" s="3" t="s">
        <v>661</v>
      </c>
      <c r="J232" s="168">
        <v>45946</v>
      </c>
      <c r="K232" s="3" t="s">
        <v>653</v>
      </c>
    </row>
    <row r="233" spans="2:12">
      <c r="B233" s="3">
        <v>230</v>
      </c>
      <c r="C233" s="4" t="s">
        <v>574</v>
      </c>
      <c r="D233" s="56">
        <v>16119307</v>
      </c>
      <c r="F233" s="65">
        <v>17467</v>
      </c>
      <c r="G233" s="4" t="s">
        <v>220</v>
      </c>
      <c r="H233" s="10"/>
      <c r="I233" s="3" t="s">
        <v>661</v>
      </c>
      <c r="J233" s="168">
        <v>45946</v>
      </c>
      <c r="K233" s="3" t="s">
        <v>653</v>
      </c>
    </row>
    <row r="234" spans="2:12">
      <c r="B234" s="3">
        <v>231</v>
      </c>
      <c r="C234" s="4" t="s">
        <v>574</v>
      </c>
      <c r="D234" s="56">
        <v>16119308</v>
      </c>
      <c r="F234" s="65">
        <v>17470</v>
      </c>
      <c r="G234" s="4" t="s">
        <v>565</v>
      </c>
      <c r="H234" s="10"/>
      <c r="I234" s="3" t="s">
        <v>661</v>
      </c>
      <c r="J234" s="168">
        <v>45946</v>
      </c>
      <c r="K234" s="3" t="s">
        <v>653</v>
      </c>
    </row>
    <row r="235" spans="2:12">
      <c r="B235" s="3">
        <v>232</v>
      </c>
      <c r="C235" s="4" t="s">
        <v>574</v>
      </c>
      <c r="D235" s="56">
        <v>16119309</v>
      </c>
      <c r="F235" s="65">
        <v>17469</v>
      </c>
      <c r="G235" s="4" t="s">
        <v>219</v>
      </c>
      <c r="H235" s="10"/>
      <c r="I235" s="3" t="s">
        <v>661</v>
      </c>
      <c r="J235" s="168">
        <v>45946</v>
      </c>
      <c r="K235" s="3" t="s">
        <v>653</v>
      </c>
    </row>
    <row r="236" spans="2:12">
      <c r="B236" s="3">
        <v>233</v>
      </c>
      <c r="C236" s="4" t="s">
        <v>574</v>
      </c>
      <c r="D236" s="56">
        <v>16119310</v>
      </c>
      <c r="F236" s="65">
        <v>17449</v>
      </c>
      <c r="G236" s="4" t="s">
        <v>181</v>
      </c>
      <c r="H236" s="10"/>
      <c r="I236" s="3" t="s">
        <v>661</v>
      </c>
      <c r="J236" s="168">
        <v>45946</v>
      </c>
      <c r="K236" s="3" t="s">
        <v>653</v>
      </c>
    </row>
    <row r="237" spans="2:12">
      <c r="B237" s="3">
        <v>234</v>
      </c>
      <c r="C237" s="4" t="s">
        <v>574</v>
      </c>
      <c r="D237" s="56">
        <v>16119311</v>
      </c>
      <c r="F237" s="65">
        <v>17683</v>
      </c>
      <c r="G237" s="4" t="s">
        <v>181</v>
      </c>
      <c r="H237" s="10"/>
      <c r="I237" s="3" t="s">
        <v>857</v>
      </c>
      <c r="J237" s="168">
        <v>45975</v>
      </c>
      <c r="K237" s="3" t="s">
        <v>653</v>
      </c>
    </row>
    <row r="238" spans="2:12">
      <c r="B238" s="3">
        <v>235</v>
      </c>
      <c r="C238" s="4" t="s">
        <v>574</v>
      </c>
      <c r="D238" s="56">
        <v>16119312</v>
      </c>
      <c r="F238" s="65">
        <v>17682</v>
      </c>
      <c r="G238" s="4" t="s">
        <v>181</v>
      </c>
      <c r="H238" s="10"/>
      <c r="I238" s="3" t="s">
        <v>857</v>
      </c>
      <c r="J238" s="168">
        <v>45975</v>
      </c>
      <c r="K238" s="3" t="s">
        <v>653</v>
      </c>
    </row>
    <row r="239" spans="2:12">
      <c r="B239" s="3">
        <v>236</v>
      </c>
      <c r="C239" s="4" t="s">
        <v>574</v>
      </c>
      <c r="D239" s="56">
        <v>16119313</v>
      </c>
      <c r="F239" s="65">
        <v>17743</v>
      </c>
      <c r="G239" s="4" t="s">
        <v>740</v>
      </c>
      <c r="H239" s="10"/>
      <c r="I239" s="3" t="s">
        <v>857</v>
      </c>
      <c r="J239" s="168">
        <v>45975</v>
      </c>
      <c r="K239" s="3" t="s">
        <v>653</v>
      </c>
    </row>
    <row r="240" spans="2:12">
      <c r="B240" s="3">
        <v>237</v>
      </c>
      <c r="C240" s="4" t="s">
        <v>574</v>
      </c>
      <c r="D240" s="56">
        <v>16119314</v>
      </c>
      <c r="F240" s="65">
        <v>17741</v>
      </c>
      <c r="G240" s="4" t="s">
        <v>565</v>
      </c>
      <c r="H240" s="10"/>
      <c r="I240" s="3" t="s">
        <v>857</v>
      </c>
      <c r="J240" s="168">
        <v>45975</v>
      </c>
      <c r="K240" s="3" t="s">
        <v>653</v>
      </c>
    </row>
    <row r="241" spans="2:12">
      <c r="B241" s="3">
        <v>238</v>
      </c>
      <c r="C241" s="4" t="s">
        <v>574</v>
      </c>
      <c r="D241" s="56">
        <v>16119315</v>
      </c>
      <c r="F241" s="65">
        <v>17742</v>
      </c>
      <c r="G241" s="4" t="s">
        <v>219</v>
      </c>
      <c r="H241" s="10"/>
      <c r="I241" s="3" t="s">
        <v>857</v>
      </c>
      <c r="J241" s="168">
        <v>45975</v>
      </c>
      <c r="K241" s="3" t="s">
        <v>653</v>
      </c>
    </row>
    <row r="242" spans="2:12">
      <c r="B242" s="3">
        <v>239</v>
      </c>
      <c r="C242" s="4" t="s">
        <v>574</v>
      </c>
      <c r="D242" s="56">
        <v>16119316</v>
      </c>
      <c r="F242" s="65">
        <v>17744</v>
      </c>
      <c r="G242" s="4" t="s">
        <v>220</v>
      </c>
      <c r="H242" s="10"/>
      <c r="I242" s="3" t="s">
        <v>857</v>
      </c>
      <c r="J242" s="168">
        <v>45975</v>
      </c>
      <c r="K242" s="3" t="s">
        <v>653</v>
      </c>
    </row>
    <row r="243" spans="2:12">
      <c r="B243" s="3">
        <v>240</v>
      </c>
      <c r="C243" s="4" t="s">
        <v>574</v>
      </c>
      <c r="D243" s="56">
        <v>16119317</v>
      </c>
      <c r="F243" s="65">
        <v>18106</v>
      </c>
      <c r="G243" s="4" t="s">
        <v>863</v>
      </c>
      <c r="H243" s="10"/>
      <c r="I243" s="3" t="s">
        <v>505</v>
      </c>
      <c r="J243" s="168">
        <v>46013</v>
      </c>
      <c r="K243" s="3" t="s">
        <v>653</v>
      </c>
      <c r="L243" s="5" t="s">
        <v>864</v>
      </c>
    </row>
    <row r="244" spans="2:12">
      <c r="B244" s="3">
        <v>241</v>
      </c>
      <c r="C244" s="4" t="s">
        <v>574</v>
      </c>
      <c r="D244" s="56">
        <v>16119318</v>
      </c>
      <c r="F244" s="65">
        <v>18029</v>
      </c>
      <c r="G244" s="4" t="s">
        <v>740</v>
      </c>
      <c r="H244" s="10"/>
      <c r="I244" s="3" t="s">
        <v>505</v>
      </c>
      <c r="J244" s="168">
        <v>46013</v>
      </c>
      <c r="K244" s="3" t="s">
        <v>653</v>
      </c>
    </row>
    <row r="245" spans="2:12">
      <c r="B245" s="3">
        <v>242</v>
      </c>
      <c r="C245" s="4" t="s">
        <v>574</v>
      </c>
      <c r="D245" s="56">
        <v>16119319</v>
      </c>
      <c r="F245" s="65">
        <v>18030</v>
      </c>
      <c r="G245" s="4" t="s">
        <v>220</v>
      </c>
      <c r="H245" s="10"/>
      <c r="I245" s="3" t="s">
        <v>505</v>
      </c>
      <c r="J245" s="168">
        <v>46013</v>
      </c>
      <c r="K245" s="3" t="s">
        <v>653</v>
      </c>
    </row>
    <row r="246" spans="2:12">
      <c r="B246" s="3">
        <v>243</v>
      </c>
      <c r="C246" s="4" t="s">
        <v>574</v>
      </c>
      <c r="D246" s="56">
        <v>16119320</v>
      </c>
      <c r="F246" s="65">
        <v>18028</v>
      </c>
      <c r="G246" s="4" t="s">
        <v>565</v>
      </c>
      <c r="H246" s="10"/>
      <c r="I246" s="3" t="s">
        <v>505</v>
      </c>
      <c r="J246" s="168">
        <v>46013</v>
      </c>
      <c r="K246" s="3" t="s">
        <v>653</v>
      </c>
    </row>
    <row r="247" spans="2:12">
      <c r="B247" s="3">
        <v>244</v>
      </c>
      <c r="C247" s="4" t="s">
        <v>574</v>
      </c>
      <c r="D247" s="56">
        <v>16119321</v>
      </c>
      <c r="F247" s="65">
        <v>18107</v>
      </c>
      <c r="G247" s="4" t="s">
        <v>181</v>
      </c>
      <c r="H247" s="10"/>
      <c r="I247" s="3" t="s">
        <v>505</v>
      </c>
      <c r="J247" s="168">
        <v>46013</v>
      </c>
      <c r="K247" s="3" t="s">
        <v>653</v>
      </c>
    </row>
    <row r="248" spans="2:12">
      <c r="B248" s="3">
        <v>245</v>
      </c>
      <c r="C248" s="4"/>
      <c r="D248" s="56">
        <v>16119322</v>
      </c>
      <c r="F248" s="65"/>
      <c r="G248" s="4"/>
      <c r="H248" s="10"/>
      <c r="I248" s="3"/>
      <c r="J248" s="168"/>
      <c r="K248" s="3"/>
    </row>
    <row r="249" spans="2:12">
      <c r="B249" s="3">
        <v>246</v>
      </c>
      <c r="C249" s="4"/>
      <c r="D249" s="56">
        <v>16119323</v>
      </c>
      <c r="F249" s="65"/>
      <c r="G249" s="4"/>
      <c r="H249" s="10"/>
      <c r="I249" s="3"/>
      <c r="J249" s="168"/>
      <c r="K249" s="3"/>
    </row>
    <row r="250" spans="2:12">
      <c r="B250" s="3">
        <v>247</v>
      </c>
      <c r="C250" s="4"/>
      <c r="D250" s="56">
        <v>16119324</v>
      </c>
      <c r="F250" s="65"/>
      <c r="G250" s="4"/>
      <c r="H250" s="10"/>
      <c r="I250" s="3"/>
      <c r="J250" s="168"/>
      <c r="K250" s="3"/>
    </row>
    <row r="251" spans="2:12">
      <c r="B251" s="3">
        <v>248</v>
      </c>
      <c r="C251" s="4"/>
      <c r="D251" s="56">
        <v>16119325</v>
      </c>
      <c r="F251" s="65"/>
      <c r="G251" s="4"/>
      <c r="H251" s="10"/>
      <c r="I251" s="3"/>
      <c r="J251" s="168"/>
      <c r="K251" s="3"/>
    </row>
    <row r="252" spans="2:12">
      <c r="B252" s="3">
        <v>249</v>
      </c>
      <c r="C252" s="4"/>
      <c r="D252" s="56">
        <v>16119326</v>
      </c>
      <c r="F252" s="65"/>
      <c r="G252" s="4"/>
      <c r="H252" s="10"/>
      <c r="I252" s="3"/>
      <c r="J252" s="168"/>
      <c r="K252" s="3"/>
    </row>
    <row r="253" spans="2:12">
      <c r="B253" s="3">
        <v>250</v>
      </c>
      <c r="C253" s="4"/>
      <c r="D253" s="56">
        <v>16119327</v>
      </c>
      <c r="F253" s="65"/>
      <c r="G253" s="4"/>
      <c r="H253" s="10"/>
      <c r="I253" s="3"/>
      <c r="J253" s="168"/>
      <c r="K253" s="3"/>
    </row>
    <row r="254" spans="2:12">
      <c r="B254" s="3">
        <v>251</v>
      </c>
      <c r="C254" s="4"/>
      <c r="D254" s="56">
        <v>16119328</v>
      </c>
      <c r="F254" s="65"/>
      <c r="G254" s="4"/>
      <c r="H254" s="10"/>
      <c r="I254" s="3"/>
      <c r="J254" s="168"/>
      <c r="K254" s="3"/>
    </row>
    <row r="255" spans="2:12">
      <c r="B255" s="3">
        <v>252</v>
      </c>
      <c r="C255" s="4"/>
      <c r="D255" s="56">
        <v>16119329</v>
      </c>
      <c r="F255" s="65"/>
      <c r="G255" s="4"/>
      <c r="H255" s="10"/>
      <c r="I255" s="3"/>
      <c r="J255" s="168"/>
      <c r="K255" s="3"/>
    </row>
  </sheetData>
  <autoFilter ref="A3:K15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05" priority="1" operator="containsText" text="見積！">
      <formula>NOT(ISERROR(SEARCH("見積！",A1)))</formula>
    </cfRule>
  </conditionalFormatting>
  <conditionalFormatting sqref="A4:A1048576">
    <cfRule type="containsText" dxfId="104" priority="4" operator="containsText" text="着手">
      <formula>NOT(ISERROR(SEARCH("着手",A4)))</formula>
    </cfRule>
    <cfRule type="containsText" dxfId="103" priority="5" operator="containsText" text="見積完了">
      <formula>NOT(ISERROR(SEARCH("見積完了",A4)))</formula>
    </cfRule>
    <cfRule type="containsText" dxfId="102" priority="6" operator="containsText" text="中止">
      <formula>NOT(ISERROR(SEARCH("中止",A4)))</formula>
    </cfRule>
    <cfRule type="containsText" dxfId="101" priority="7" operator="containsText" text="保留">
      <formula>NOT(ISERROR(SEARCH("保留",A4)))</formula>
    </cfRule>
    <cfRule type="containsText" dxfId="100" priority="8" operator="containsText" text="進行中">
      <formula>NOT(ISERROR(SEARCH("進行中",A4)))</formula>
    </cfRule>
    <cfRule type="containsText" dxfId="99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K1:L1048576 I1:I1048576 G2:G1048576" xr:uid="{A35296F1-4EA8-4509-BEE0-B3F212372519}"/>
    <dataValidation imeMode="off" allowBlank="1" showInputMessage="1" showErrorMessage="1" sqref="G1 D1:F1048576 H1:H1048576 B1:B1048576 J1:J1048576" xr:uid="{5ED4121F-66FC-4D4C-A649-0971AF4D923B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ECBD3A-52AC-4837-9429-38AA3F6F768D}">
          <x14:formula1>
            <xm:f>タスク!$B$3:$B$14</xm:f>
          </x14:formula1>
          <xm:sqref>A4:A1048576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4DB-334D-4D1E-95E5-F2CDD55BC811}">
  <sheetPr codeName="Sheet13">
    <pageSetUpPr fitToPage="1"/>
  </sheetPr>
  <dimension ref="A1:M50"/>
  <sheetViews>
    <sheetView zoomScale="110" zoomScaleNormal="110" workbookViewId="0">
      <pane ySplit="3" topLeftCell="A4" activePane="bottomLeft" state="frozen"/>
      <selection activeCell="A11" sqref="A11"/>
      <selection pane="bottomLeft" activeCell="A28" sqref="A4:XFD28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171</v>
      </c>
      <c r="D4" s="12">
        <v>16117014</v>
      </c>
      <c r="E4" s="4" t="s">
        <v>172</v>
      </c>
      <c r="F4" s="65" t="s">
        <v>31</v>
      </c>
      <c r="G4" s="4" t="s">
        <v>32</v>
      </c>
      <c r="H4" s="10"/>
      <c r="I4" s="3" t="s">
        <v>33</v>
      </c>
      <c r="J4" s="1">
        <v>44903</v>
      </c>
      <c r="K4" s="3" t="s">
        <v>34</v>
      </c>
    </row>
    <row r="5" spans="1:13" hidden="1">
      <c r="A5" s="17" t="s">
        <v>28</v>
      </c>
      <c r="B5" s="3">
        <v>2</v>
      </c>
      <c r="C5" s="4" t="s">
        <v>171</v>
      </c>
      <c r="D5" s="12">
        <v>16117015</v>
      </c>
      <c r="E5" s="4" t="s">
        <v>173</v>
      </c>
      <c r="F5" s="65" t="s">
        <v>31</v>
      </c>
      <c r="G5" s="4" t="s">
        <v>32</v>
      </c>
      <c r="H5" s="10"/>
      <c r="I5" s="3" t="s">
        <v>74</v>
      </c>
      <c r="J5" s="1">
        <v>44937</v>
      </c>
      <c r="K5" s="3" t="s">
        <v>34</v>
      </c>
    </row>
    <row r="6" spans="1:13" hidden="1">
      <c r="A6" s="17" t="s">
        <v>28</v>
      </c>
      <c r="B6" s="3">
        <v>3</v>
      </c>
      <c r="C6" s="4" t="s">
        <v>171</v>
      </c>
      <c r="D6" s="12">
        <v>16117016</v>
      </c>
      <c r="E6" s="4"/>
      <c r="F6" s="65" t="s">
        <v>31</v>
      </c>
      <c r="G6" s="4" t="s">
        <v>32</v>
      </c>
      <c r="H6" s="10"/>
      <c r="I6" s="3" t="s">
        <v>79</v>
      </c>
      <c r="J6" s="1">
        <v>44966</v>
      </c>
      <c r="K6" s="3" t="s">
        <v>34</v>
      </c>
    </row>
    <row r="7" spans="1:13" hidden="1">
      <c r="A7" s="17" t="s">
        <v>28</v>
      </c>
      <c r="B7" s="3">
        <v>4</v>
      </c>
      <c r="C7" s="4" t="s">
        <v>174</v>
      </c>
      <c r="D7" s="12">
        <v>16117017</v>
      </c>
      <c r="E7" s="4"/>
      <c r="F7" s="65" t="s">
        <v>31</v>
      </c>
      <c r="G7" s="4" t="s">
        <v>32</v>
      </c>
      <c r="H7" s="10"/>
      <c r="I7" s="3" t="s">
        <v>40</v>
      </c>
      <c r="J7" s="1">
        <v>44999</v>
      </c>
      <c r="K7" s="3" t="s">
        <v>34</v>
      </c>
    </row>
    <row r="8" spans="1:13" hidden="1">
      <c r="A8" s="17" t="s">
        <v>28</v>
      </c>
      <c r="B8" s="3">
        <v>5</v>
      </c>
      <c r="C8" s="4" t="s">
        <v>174</v>
      </c>
      <c r="D8" s="12">
        <v>16117018</v>
      </c>
      <c r="E8" s="4"/>
      <c r="F8" s="65" t="s">
        <v>31</v>
      </c>
      <c r="G8" s="4" t="s">
        <v>32</v>
      </c>
      <c r="H8" s="10"/>
      <c r="I8" s="3" t="s">
        <v>82</v>
      </c>
      <c r="J8" s="1">
        <v>45023</v>
      </c>
      <c r="K8" s="3" t="s">
        <v>34</v>
      </c>
    </row>
    <row r="9" spans="1:13" hidden="1">
      <c r="A9" s="17" t="s">
        <v>28</v>
      </c>
      <c r="B9" s="3">
        <v>6</v>
      </c>
      <c r="C9" s="4" t="s">
        <v>174</v>
      </c>
      <c r="D9" s="12">
        <v>16117019</v>
      </c>
      <c r="E9" s="4"/>
      <c r="F9" s="65" t="s">
        <v>31</v>
      </c>
      <c r="G9" s="4" t="s">
        <v>32</v>
      </c>
      <c r="H9" s="10"/>
      <c r="I9" s="3" t="s">
        <v>42</v>
      </c>
      <c r="J9" s="1">
        <v>45063</v>
      </c>
      <c r="K9" s="3" t="s">
        <v>34</v>
      </c>
    </row>
    <row r="10" spans="1:13" hidden="1">
      <c r="A10" s="17" t="s">
        <v>28</v>
      </c>
      <c r="B10" s="3">
        <v>7</v>
      </c>
      <c r="C10" s="4" t="s">
        <v>174</v>
      </c>
      <c r="D10" s="12">
        <v>16117020</v>
      </c>
      <c r="E10" s="4"/>
      <c r="F10" s="65" t="s">
        <v>31</v>
      </c>
      <c r="G10" s="4" t="s">
        <v>32</v>
      </c>
      <c r="H10" s="10"/>
      <c r="I10" s="3" t="s">
        <v>43</v>
      </c>
      <c r="J10" s="1">
        <v>45085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174</v>
      </c>
      <c r="D11" s="12">
        <v>16117021</v>
      </c>
      <c r="E11" s="4"/>
      <c r="F11" s="65" t="s">
        <v>31</v>
      </c>
      <c r="G11" s="4" t="s">
        <v>32</v>
      </c>
      <c r="H11" s="10"/>
      <c r="I11" s="3" t="s">
        <v>84</v>
      </c>
      <c r="J11" s="1">
        <v>45112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174</v>
      </c>
      <c r="D12" s="12">
        <v>16117022</v>
      </c>
      <c r="E12" s="4"/>
      <c r="F12" s="65" t="s">
        <v>31</v>
      </c>
      <c r="G12" s="4" t="s">
        <v>32</v>
      </c>
      <c r="H12" s="10"/>
      <c r="I12" s="3" t="s">
        <v>468</v>
      </c>
      <c r="J12" s="1">
        <v>45148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174</v>
      </c>
      <c r="D13" s="12">
        <v>16117023</v>
      </c>
      <c r="E13" s="4"/>
      <c r="F13" s="65" t="s">
        <v>31</v>
      </c>
      <c r="G13" s="4" t="s">
        <v>32</v>
      </c>
      <c r="H13" s="10"/>
      <c r="I13" s="3" t="s">
        <v>47</v>
      </c>
      <c r="J13" s="1">
        <v>45183</v>
      </c>
      <c r="K13" s="3" t="s">
        <v>477</v>
      </c>
    </row>
    <row r="14" spans="1:13" hidden="1">
      <c r="A14" s="17" t="s">
        <v>44</v>
      </c>
      <c r="B14" s="3">
        <v>11</v>
      </c>
      <c r="C14" s="4" t="s">
        <v>174</v>
      </c>
      <c r="D14" s="12">
        <v>16117024</v>
      </c>
      <c r="E14" s="4"/>
      <c r="F14" s="65" t="s">
        <v>31</v>
      </c>
      <c r="G14" s="4" t="s">
        <v>32</v>
      </c>
      <c r="H14" s="10"/>
      <c r="I14" s="3" t="s">
        <v>48</v>
      </c>
      <c r="J14" s="1">
        <v>45210</v>
      </c>
      <c r="K14" s="3" t="s">
        <v>477</v>
      </c>
    </row>
    <row r="15" spans="1:13" hidden="1">
      <c r="A15" s="149" t="s">
        <v>456</v>
      </c>
      <c r="B15" s="150">
        <v>12</v>
      </c>
      <c r="C15" s="151" t="s">
        <v>174</v>
      </c>
      <c r="D15" s="156">
        <v>16117025</v>
      </c>
      <c r="E15" s="151"/>
      <c r="F15" s="153" t="s">
        <v>31</v>
      </c>
      <c r="G15" s="151" t="s">
        <v>32</v>
      </c>
      <c r="H15" s="154"/>
      <c r="I15" s="150" t="s">
        <v>49</v>
      </c>
      <c r="J15" s="155">
        <v>45243</v>
      </c>
      <c r="K15" s="150" t="s">
        <v>477</v>
      </c>
    </row>
    <row r="16" spans="1:13" hidden="1">
      <c r="A16" s="3"/>
      <c r="B16" s="3">
        <v>13</v>
      </c>
      <c r="C16" s="4" t="s">
        <v>174</v>
      </c>
      <c r="D16" s="12">
        <v>16117026</v>
      </c>
      <c r="E16" s="4"/>
      <c r="F16" s="65" t="s">
        <v>31</v>
      </c>
      <c r="G16" s="4" t="s">
        <v>32</v>
      </c>
      <c r="H16" s="10"/>
      <c r="I16" s="3" t="s">
        <v>33</v>
      </c>
      <c r="J16" s="1">
        <v>45266</v>
      </c>
      <c r="K16" s="3" t="s">
        <v>477</v>
      </c>
      <c r="L16" s="4"/>
    </row>
    <row r="17" spans="1:12" hidden="1">
      <c r="A17" s="3"/>
      <c r="B17" s="3">
        <v>14</v>
      </c>
      <c r="C17" s="4" t="s">
        <v>174</v>
      </c>
      <c r="D17" s="12">
        <v>16117027</v>
      </c>
      <c r="E17" s="4"/>
      <c r="F17" s="65" t="s">
        <v>31</v>
      </c>
      <c r="G17" s="4" t="s">
        <v>32</v>
      </c>
      <c r="H17" s="10"/>
      <c r="I17" s="3" t="s">
        <v>518</v>
      </c>
      <c r="J17" s="1">
        <v>44944</v>
      </c>
      <c r="K17" s="3" t="s">
        <v>477</v>
      </c>
      <c r="L17" s="4"/>
    </row>
    <row r="18" spans="1:12" hidden="1">
      <c r="A18" s="3"/>
      <c r="B18" s="3">
        <v>15</v>
      </c>
      <c r="C18" s="4" t="s">
        <v>174</v>
      </c>
      <c r="D18" s="12">
        <v>16117028</v>
      </c>
      <c r="E18" s="4"/>
      <c r="F18" s="65" t="s">
        <v>31</v>
      </c>
      <c r="G18" s="4" t="s">
        <v>32</v>
      </c>
      <c r="H18" s="10"/>
      <c r="I18" s="3" t="s">
        <v>217</v>
      </c>
      <c r="J18" s="1">
        <v>44963</v>
      </c>
      <c r="K18" s="3" t="s">
        <v>477</v>
      </c>
      <c r="L18" s="4"/>
    </row>
    <row r="19" spans="1:12" hidden="1">
      <c r="A19" s="3"/>
      <c r="B19" s="3">
        <v>16</v>
      </c>
      <c r="C19" s="4" t="s">
        <v>174</v>
      </c>
      <c r="D19" s="12">
        <v>16117029</v>
      </c>
      <c r="E19" s="4"/>
      <c r="F19" s="65" t="s">
        <v>31</v>
      </c>
      <c r="G19" s="4" t="s">
        <v>32</v>
      </c>
      <c r="H19" s="10"/>
      <c r="I19" s="3" t="s">
        <v>532</v>
      </c>
      <c r="J19" s="1">
        <v>44998</v>
      </c>
      <c r="K19" s="3" t="s">
        <v>477</v>
      </c>
      <c r="L19" s="4"/>
    </row>
    <row r="20" spans="1:12" hidden="1">
      <c r="A20" s="3"/>
      <c r="B20" s="3">
        <v>17</v>
      </c>
      <c r="C20" s="4" t="s">
        <v>174</v>
      </c>
      <c r="D20" s="12">
        <v>16117030</v>
      </c>
      <c r="E20" s="4"/>
      <c r="F20" s="65" t="s">
        <v>31</v>
      </c>
      <c r="G20" s="4" t="s">
        <v>32</v>
      </c>
      <c r="H20" s="10"/>
      <c r="I20" s="3" t="s">
        <v>562</v>
      </c>
      <c r="J20" s="1">
        <v>45024</v>
      </c>
      <c r="K20" s="3" t="s">
        <v>477</v>
      </c>
      <c r="L20" s="4"/>
    </row>
    <row r="21" spans="1:12" hidden="1">
      <c r="A21" s="3"/>
      <c r="B21" s="3">
        <v>18</v>
      </c>
      <c r="C21" s="4" t="s">
        <v>600</v>
      </c>
      <c r="D21" s="12">
        <v>16117031</v>
      </c>
      <c r="E21" s="4"/>
      <c r="F21" s="65" t="s">
        <v>31</v>
      </c>
      <c r="G21" s="4" t="s">
        <v>32</v>
      </c>
      <c r="H21" s="10"/>
      <c r="I21" s="3" t="s">
        <v>156</v>
      </c>
      <c r="J21" s="1">
        <v>45056</v>
      </c>
      <c r="K21" s="3" t="s">
        <v>477</v>
      </c>
      <c r="L21" s="4"/>
    </row>
    <row r="22" spans="1:12" hidden="1">
      <c r="A22" s="3"/>
      <c r="B22" s="3">
        <v>19</v>
      </c>
      <c r="C22" s="4" t="s">
        <v>600</v>
      </c>
      <c r="D22" s="12">
        <v>16117032</v>
      </c>
      <c r="E22" s="4"/>
      <c r="F22" s="65" t="s">
        <v>634</v>
      </c>
      <c r="G22" s="4" t="s">
        <v>32</v>
      </c>
      <c r="H22" s="10"/>
      <c r="I22" s="3" t="s">
        <v>635</v>
      </c>
      <c r="J22" s="1">
        <v>45087</v>
      </c>
      <c r="K22" s="3" t="s">
        <v>477</v>
      </c>
      <c r="L22" s="4"/>
    </row>
    <row r="23" spans="1:12" hidden="1">
      <c r="A23" s="3"/>
      <c r="B23" s="3">
        <v>20</v>
      </c>
      <c r="C23" s="4" t="s">
        <v>600</v>
      </c>
      <c r="D23" s="12">
        <v>16117033</v>
      </c>
      <c r="E23" s="4"/>
      <c r="F23" s="65" t="s">
        <v>31</v>
      </c>
      <c r="G23" s="4" t="s">
        <v>32</v>
      </c>
      <c r="H23" s="10"/>
      <c r="I23" s="3" t="s">
        <v>641</v>
      </c>
      <c r="J23" s="1">
        <v>45115</v>
      </c>
      <c r="K23" s="3" t="s">
        <v>477</v>
      </c>
      <c r="L23" s="4"/>
    </row>
    <row r="24" spans="1:12" hidden="1">
      <c r="A24" s="3"/>
      <c r="B24" s="3">
        <v>21</v>
      </c>
      <c r="C24" s="4" t="s">
        <v>600</v>
      </c>
      <c r="D24" s="12">
        <v>16117034</v>
      </c>
      <c r="E24" s="4"/>
      <c r="F24" s="65" t="s">
        <v>31</v>
      </c>
      <c r="G24" s="4" t="s">
        <v>32</v>
      </c>
      <c r="H24" s="10"/>
      <c r="I24" s="3" t="s">
        <v>646</v>
      </c>
      <c r="J24" s="144">
        <v>45510</v>
      </c>
      <c r="K24" s="3" t="s">
        <v>477</v>
      </c>
      <c r="L24" s="4"/>
    </row>
    <row r="25" spans="1:12" hidden="1">
      <c r="A25" s="3"/>
      <c r="B25" s="3">
        <v>22</v>
      </c>
      <c r="C25" s="4" t="s">
        <v>600</v>
      </c>
      <c r="D25" s="12">
        <v>16117035</v>
      </c>
      <c r="E25" s="4"/>
      <c r="F25" s="65" t="s">
        <v>31</v>
      </c>
      <c r="G25" s="4" t="s">
        <v>32</v>
      </c>
      <c r="H25" s="10"/>
      <c r="I25" s="3" t="s">
        <v>481</v>
      </c>
      <c r="J25" s="144">
        <v>45544</v>
      </c>
      <c r="K25" s="3" t="s">
        <v>653</v>
      </c>
      <c r="L25" s="4"/>
    </row>
    <row r="26" spans="1:12" hidden="1">
      <c r="A26" s="3"/>
      <c r="B26" s="3">
        <v>23</v>
      </c>
      <c r="C26" s="4" t="s">
        <v>600</v>
      </c>
      <c r="D26" s="12">
        <v>16117036</v>
      </c>
      <c r="E26" s="4"/>
      <c r="F26" s="65" t="s">
        <v>31</v>
      </c>
      <c r="G26" s="4" t="s">
        <v>32</v>
      </c>
      <c r="H26" s="10"/>
      <c r="I26" s="3" t="s">
        <v>661</v>
      </c>
      <c r="J26" s="144">
        <v>45583</v>
      </c>
      <c r="K26" s="3" t="s">
        <v>653</v>
      </c>
      <c r="L26" s="4"/>
    </row>
    <row r="27" spans="1:12" hidden="1">
      <c r="A27" s="3"/>
      <c r="B27" s="3">
        <v>24</v>
      </c>
      <c r="C27" s="4" t="s">
        <v>600</v>
      </c>
      <c r="D27" s="12">
        <v>16117037</v>
      </c>
      <c r="E27" s="4"/>
      <c r="F27" s="65" t="s">
        <v>31</v>
      </c>
      <c r="G27" s="4" t="s">
        <v>32</v>
      </c>
      <c r="H27" s="10"/>
      <c r="I27" s="3" t="s">
        <v>493</v>
      </c>
      <c r="J27" s="144">
        <v>45604</v>
      </c>
      <c r="K27" s="3" t="s">
        <v>653</v>
      </c>
      <c r="L27" s="4"/>
    </row>
    <row r="28" spans="1:12" hidden="1">
      <c r="A28" s="3"/>
      <c r="B28" s="3">
        <v>25</v>
      </c>
      <c r="C28" s="4" t="s">
        <v>600</v>
      </c>
      <c r="D28" s="12">
        <v>16117038</v>
      </c>
      <c r="E28" s="4"/>
      <c r="F28" s="65" t="s">
        <v>31</v>
      </c>
      <c r="G28" s="4" t="s">
        <v>32</v>
      </c>
      <c r="H28" s="10"/>
      <c r="I28" s="3" t="s">
        <v>33</v>
      </c>
      <c r="J28" s="144">
        <v>45632</v>
      </c>
      <c r="K28" s="3" t="s">
        <v>653</v>
      </c>
      <c r="L28" s="4"/>
    </row>
    <row r="29" spans="1:12" ht="18.600000000000001" thickTop="1">
      <c r="A29" s="3"/>
      <c r="B29" s="3">
        <v>26</v>
      </c>
      <c r="C29" s="4" t="s">
        <v>600</v>
      </c>
      <c r="D29" s="12">
        <v>16117039</v>
      </c>
      <c r="E29" s="4"/>
      <c r="F29" s="65" t="s">
        <v>31</v>
      </c>
      <c r="G29" s="4" t="s">
        <v>32</v>
      </c>
      <c r="H29" s="10"/>
      <c r="I29" s="3" t="s">
        <v>518</v>
      </c>
      <c r="J29" s="144">
        <v>45672</v>
      </c>
      <c r="K29" s="3" t="s">
        <v>653</v>
      </c>
      <c r="L29" s="4"/>
    </row>
    <row r="30" spans="1:12">
      <c r="A30" s="3"/>
      <c r="B30" s="3">
        <v>27</v>
      </c>
      <c r="C30" s="4" t="s">
        <v>600</v>
      </c>
      <c r="D30" s="12">
        <v>16117040</v>
      </c>
      <c r="E30" s="4"/>
      <c r="F30" s="65" t="s">
        <v>31</v>
      </c>
      <c r="G30" s="4" t="s">
        <v>32</v>
      </c>
      <c r="H30" s="10"/>
      <c r="I30" s="3" t="s">
        <v>217</v>
      </c>
      <c r="J30" s="144">
        <v>45699</v>
      </c>
      <c r="K30" s="3" t="s">
        <v>653</v>
      </c>
      <c r="L30" s="4"/>
    </row>
    <row r="31" spans="1:12">
      <c r="A31" s="3"/>
      <c r="B31" s="3">
        <v>28</v>
      </c>
      <c r="C31" s="4" t="s">
        <v>600</v>
      </c>
      <c r="D31" s="12">
        <v>16117041</v>
      </c>
      <c r="E31" s="4"/>
      <c r="F31" s="65" t="s">
        <v>31</v>
      </c>
      <c r="G31" s="4" t="s">
        <v>32</v>
      </c>
      <c r="H31" s="10"/>
      <c r="I31" s="3" t="s">
        <v>531</v>
      </c>
      <c r="J31" s="144">
        <v>45735</v>
      </c>
      <c r="K31" s="3" t="s">
        <v>653</v>
      </c>
      <c r="L31" s="4"/>
    </row>
    <row r="32" spans="1:12">
      <c r="A32" s="3"/>
      <c r="B32" s="3">
        <v>29</v>
      </c>
      <c r="C32" s="4" t="s">
        <v>600</v>
      </c>
      <c r="D32" s="12">
        <v>16117042</v>
      </c>
      <c r="E32" s="4"/>
      <c r="F32" s="65" t="s">
        <v>31</v>
      </c>
      <c r="G32" s="4" t="s">
        <v>32</v>
      </c>
      <c r="H32" s="10"/>
      <c r="I32" s="3" t="s">
        <v>562</v>
      </c>
      <c r="J32" s="144">
        <v>45761</v>
      </c>
      <c r="K32" s="3" t="s">
        <v>710</v>
      </c>
      <c r="L32" s="4"/>
    </row>
    <row r="33" spans="1:12">
      <c r="A33" s="3"/>
      <c r="B33" s="3">
        <v>30</v>
      </c>
      <c r="C33" s="4" t="s">
        <v>600</v>
      </c>
      <c r="D33" s="12">
        <v>16117043</v>
      </c>
      <c r="E33" s="4"/>
      <c r="F33" s="65" t="s">
        <v>31</v>
      </c>
      <c r="G33" s="4" t="s">
        <v>32</v>
      </c>
      <c r="H33" s="10"/>
      <c r="I33" s="3" t="s">
        <v>781</v>
      </c>
      <c r="J33" s="144">
        <v>45790</v>
      </c>
      <c r="K33" s="3" t="s">
        <v>779</v>
      </c>
      <c r="L33" s="4"/>
    </row>
    <row r="34" spans="1:12">
      <c r="A34" s="3"/>
      <c r="B34" s="3">
        <v>31</v>
      </c>
      <c r="C34" s="4" t="s">
        <v>600</v>
      </c>
      <c r="D34" s="12">
        <v>16117044</v>
      </c>
      <c r="E34" s="4"/>
      <c r="F34" s="65" t="s">
        <v>31</v>
      </c>
      <c r="G34" s="4" t="s">
        <v>32</v>
      </c>
      <c r="H34" s="10"/>
      <c r="I34" s="3" t="s">
        <v>635</v>
      </c>
      <c r="J34" s="144">
        <v>45817</v>
      </c>
      <c r="K34" s="3" t="s">
        <v>653</v>
      </c>
      <c r="L34" s="4"/>
    </row>
    <row r="35" spans="1:12">
      <c r="A35" s="3"/>
      <c r="B35" s="3">
        <v>32</v>
      </c>
      <c r="C35" s="4" t="s">
        <v>600</v>
      </c>
      <c r="D35" s="12">
        <v>16117045</v>
      </c>
      <c r="E35" s="4"/>
      <c r="F35" s="65" t="s">
        <v>31</v>
      </c>
      <c r="G35" s="4" t="s">
        <v>32</v>
      </c>
      <c r="H35" s="10"/>
      <c r="I35" s="3" t="s">
        <v>84</v>
      </c>
      <c r="J35" s="162" t="s">
        <v>798</v>
      </c>
      <c r="K35" s="150" t="s">
        <v>653</v>
      </c>
      <c r="L35" s="4"/>
    </row>
    <row r="36" spans="1:12">
      <c r="A36" s="3"/>
      <c r="B36" s="3">
        <v>33</v>
      </c>
      <c r="C36" s="4" t="s">
        <v>600</v>
      </c>
      <c r="D36" s="12">
        <v>16117046</v>
      </c>
      <c r="E36" s="4"/>
      <c r="F36" s="65" t="s">
        <v>31</v>
      </c>
      <c r="G36" s="4" t="s">
        <v>32</v>
      </c>
      <c r="H36" s="10"/>
      <c r="I36" s="3" t="s">
        <v>815</v>
      </c>
      <c r="J36" s="162" t="s">
        <v>816</v>
      </c>
      <c r="K36" s="150" t="s">
        <v>653</v>
      </c>
      <c r="L36" s="4"/>
    </row>
    <row r="37" spans="1:12">
      <c r="A37" s="3"/>
      <c r="B37" s="3">
        <v>34</v>
      </c>
      <c r="C37" s="4" t="s">
        <v>600</v>
      </c>
      <c r="D37" s="12">
        <v>16117047</v>
      </c>
      <c r="E37" s="4"/>
      <c r="F37" s="65" t="s">
        <v>31</v>
      </c>
      <c r="G37" s="4" t="s">
        <v>32</v>
      </c>
      <c r="H37" s="10"/>
      <c r="I37" s="3" t="s">
        <v>824</v>
      </c>
      <c r="J37" s="162" t="s">
        <v>825</v>
      </c>
      <c r="K37" s="150" t="s">
        <v>653</v>
      </c>
      <c r="L37" s="4"/>
    </row>
    <row r="38" spans="1:12">
      <c r="A38" s="3"/>
      <c r="B38" s="3">
        <v>35</v>
      </c>
      <c r="C38" s="4" t="s">
        <v>600</v>
      </c>
      <c r="D38" s="12">
        <v>16117048</v>
      </c>
      <c r="E38" s="4"/>
      <c r="F38" s="65" t="s">
        <v>31</v>
      </c>
      <c r="G38" s="4" t="s">
        <v>32</v>
      </c>
      <c r="H38" s="10"/>
      <c r="I38" s="3" t="s">
        <v>835</v>
      </c>
      <c r="J38" s="162" t="s">
        <v>836</v>
      </c>
      <c r="K38" s="150" t="s">
        <v>653</v>
      </c>
      <c r="L38" s="4"/>
    </row>
    <row r="39" spans="1:12">
      <c r="A39" s="3"/>
      <c r="B39" s="3">
        <v>36</v>
      </c>
      <c r="C39" s="4" t="s">
        <v>600</v>
      </c>
      <c r="D39" s="12">
        <v>16117049</v>
      </c>
      <c r="E39" s="4"/>
      <c r="F39" s="65" t="s">
        <v>31</v>
      </c>
      <c r="G39" s="4" t="s">
        <v>32</v>
      </c>
      <c r="H39" s="10"/>
      <c r="I39" s="3" t="s">
        <v>854</v>
      </c>
      <c r="J39" s="162" t="s">
        <v>855</v>
      </c>
      <c r="K39" s="150" t="s">
        <v>653</v>
      </c>
      <c r="L39" s="4"/>
    </row>
    <row r="40" spans="1:12">
      <c r="A40" s="3"/>
      <c r="B40" s="3">
        <v>37</v>
      </c>
      <c r="C40" s="4" t="s">
        <v>600</v>
      </c>
      <c r="D40" s="12">
        <v>16117050</v>
      </c>
      <c r="E40" s="4"/>
      <c r="F40" s="65" t="s">
        <v>31</v>
      </c>
      <c r="G40" s="4" t="s">
        <v>32</v>
      </c>
      <c r="H40" s="10"/>
      <c r="I40" s="3" t="s">
        <v>33</v>
      </c>
      <c r="J40" s="168">
        <v>45996</v>
      </c>
      <c r="K40" s="3" t="s">
        <v>653</v>
      </c>
      <c r="L40" s="4"/>
    </row>
    <row r="41" spans="1:12">
      <c r="A41" s="3"/>
      <c r="B41" s="3">
        <v>38</v>
      </c>
      <c r="C41" s="4"/>
      <c r="D41" s="12">
        <v>16117051</v>
      </c>
      <c r="E41" s="4"/>
      <c r="F41" s="65"/>
      <c r="G41" s="4"/>
      <c r="H41" s="10"/>
      <c r="I41" s="3"/>
      <c r="J41" s="3"/>
      <c r="K41" s="3"/>
      <c r="L41" s="4"/>
    </row>
    <row r="42" spans="1:12">
      <c r="A42" s="3"/>
      <c r="B42" s="3">
        <v>39</v>
      </c>
      <c r="C42" s="4"/>
      <c r="D42" s="12">
        <v>16117052</v>
      </c>
      <c r="E42" s="4"/>
      <c r="F42" s="65"/>
      <c r="G42" s="4"/>
      <c r="H42" s="10"/>
      <c r="I42" s="3"/>
      <c r="J42" s="3"/>
      <c r="K42" s="3"/>
      <c r="L42" s="4"/>
    </row>
    <row r="43" spans="1:12">
      <c r="A43" s="3"/>
      <c r="B43" s="3">
        <v>40</v>
      </c>
      <c r="C43" s="4"/>
      <c r="D43" s="12">
        <v>16117053</v>
      </c>
      <c r="E43" s="4"/>
      <c r="F43" s="65"/>
      <c r="G43" s="4"/>
      <c r="H43" s="10"/>
      <c r="I43" s="3"/>
      <c r="J43" s="3"/>
      <c r="K43" s="3"/>
      <c r="L43" s="4"/>
    </row>
    <row r="44" spans="1:12">
      <c r="A44" s="3"/>
      <c r="B44" s="3">
        <v>41</v>
      </c>
      <c r="C44" s="4"/>
      <c r="D44" s="12">
        <v>16117054</v>
      </c>
      <c r="E44" s="4"/>
      <c r="F44" s="65"/>
      <c r="G44" s="4"/>
      <c r="H44" s="10"/>
      <c r="I44" s="3"/>
      <c r="J44" s="3"/>
      <c r="K44" s="3"/>
      <c r="L44" s="4"/>
    </row>
    <row r="45" spans="1:12">
      <c r="A45" s="3"/>
      <c r="B45" s="3">
        <v>42</v>
      </c>
      <c r="C45" s="4"/>
      <c r="D45" s="12">
        <v>16117055</v>
      </c>
      <c r="E45" s="4"/>
      <c r="F45" s="65"/>
      <c r="G45" s="4"/>
      <c r="H45" s="10"/>
      <c r="I45" s="3"/>
      <c r="J45" s="3"/>
      <c r="K45" s="3"/>
      <c r="L45" s="4"/>
    </row>
    <row r="46" spans="1:12">
      <c r="A46" s="3"/>
      <c r="B46" s="3">
        <v>43</v>
      </c>
      <c r="C46" s="4"/>
      <c r="D46" s="12">
        <v>16117056</v>
      </c>
      <c r="E46" s="4"/>
      <c r="F46" s="65"/>
      <c r="G46" s="4"/>
      <c r="H46" s="10"/>
      <c r="I46" s="3"/>
      <c r="J46" s="3"/>
      <c r="K46" s="3"/>
      <c r="L46" s="4"/>
    </row>
    <row r="47" spans="1:12">
      <c r="A47" s="3"/>
      <c r="B47" s="3">
        <v>44</v>
      </c>
      <c r="C47" s="4"/>
      <c r="D47" s="12">
        <v>16117057</v>
      </c>
      <c r="E47" s="4"/>
      <c r="F47" s="65"/>
      <c r="G47" s="4"/>
      <c r="H47" s="10"/>
      <c r="I47" s="3"/>
      <c r="J47" s="3"/>
      <c r="K47" s="3"/>
      <c r="L47" s="4"/>
    </row>
    <row r="48" spans="1:12">
      <c r="A48" s="3"/>
      <c r="B48" s="3">
        <v>45</v>
      </c>
      <c r="C48" s="4"/>
      <c r="D48" s="12">
        <v>16117058</v>
      </c>
      <c r="E48" s="4"/>
      <c r="F48" s="65"/>
      <c r="G48" s="4"/>
      <c r="H48" s="10"/>
      <c r="I48" s="3"/>
      <c r="J48" s="3"/>
      <c r="K48" s="3"/>
      <c r="L48" s="4"/>
    </row>
    <row r="49" spans="1:12">
      <c r="A49" s="3"/>
      <c r="B49" s="3">
        <v>46</v>
      </c>
      <c r="C49" s="4"/>
      <c r="D49" s="12">
        <v>16117059</v>
      </c>
      <c r="E49" s="4"/>
      <c r="F49" s="65"/>
      <c r="G49" s="4"/>
      <c r="H49" s="10"/>
      <c r="I49" s="3"/>
      <c r="J49" s="3"/>
      <c r="K49" s="3"/>
      <c r="L49" s="4"/>
    </row>
    <row r="50" spans="1:12">
      <c r="A50" s="3"/>
      <c r="B50" s="3">
        <v>47</v>
      </c>
      <c r="C50" s="4"/>
      <c r="D50" s="12">
        <v>16117060</v>
      </c>
      <c r="E50" s="4"/>
      <c r="F50" s="65"/>
      <c r="G50" s="4"/>
      <c r="H50" s="10"/>
      <c r="I50" s="3"/>
      <c r="J50" s="3"/>
      <c r="K50" s="3"/>
      <c r="L5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98" priority="1" operator="containsText" text="見積！">
      <formula>NOT(ISERROR(SEARCH("見積！",A1)))</formula>
    </cfRule>
  </conditionalFormatting>
  <conditionalFormatting sqref="A4:A1048576">
    <cfRule type="containsText" dxfId="97" priority="4" operator="containsText" text="着手">
      <formula>NOT(ISERROR(SEARCH("着手",A4)))</formula>
    </cfRule>
    <cfRule type="containsText" dxfId="96" priority="5" operator="containsText" text="見積完了">
      <formula>NOT(ISERROR(SEARCH("見積完了",A4)))</formula>
    </cfRule>
    <cfRule type="containsText" dxfId="95" priority="6" operator="containsText" text="中止">
      <formula>NOT(ISERROR(SEARCH("中止",A4)))</formula>
    </cfRule>
    <cfRule type="containsText" dxfId="94" priority="7" operator="containsText" text="保留">
      <formula>NOT(ISERROR(SEARCH("保留",A4)))</formula>
    </cfRule>
    <cfRule type="containsText" dxfId="93" priority="8" operator="containsText" text="進行中">
      <formula>NOT(ISERROR(SEARCH("進行中",A4)))</formula>
    </cfRule>
    <cfRule type="containsText" dxfId="92" priority="9" operator="containsText" text="完了">
      <formula>NOT(ISERROR(SEARCH("完了",A4)))</formula>
    </cfRule>
  </conditionalFormatting>
  <dataValidations count="2">
    <dataValidation imeMode="off" allowBlank="1" showInputMessage="1" showErrorMessage="1" sqref="G1 B1:B1048576 J1:J1048576 D1:F1048576 H1:H1048576" xr:uid="{2BFB061E-CAE7-49C8-A69E-24751F5FBDB2}"/>
    <dataValidation imeMode="on" allowBlank="1" showInputMessage="1" showErrorMessage="1" sqref="A2 G2:G1048576 I1:I1048576 K1:L1048576 C1:C1048576" xr:uid="{4C57C235-95BE-4E3E-9177-4246B2698AE7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543417-1389-4D6F-A5B8-D9F5F9790BE6}">
          <x14:formula1>
            <xm:f>タスク!$B$3:$B$14</xm:f>
          </x14:formula1>
          <xm:sqref>A4:A1048576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C472-64FE-4BCD-AB7A-5FFFE9568581}">
  <sheetPr codeName="Sheet16">
    <pageSetUpPr fitToPage="1"/>
  </sheetPr>
  <dimension ref="A1:M86"/>
  <sheetViews>
    <sheetView zoomScale="130" zoomScaleNormal="130" workbookViewId="0">
      <pane ySplit="3" topLeftCell="A22" activePane="bottomLeft" state="frozen"/>
      <selection activeCell="A11" sqref="A11"/>
      <selection pane="bottomLeft" activeCell="A32" sqref="A3:XFD32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hidden="1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239</v>
      </c>
      <c r="D4" s="12">
        <v>16116026</v>
      </c>
      <c r="E4" s="4" t="s">
        <v>240</v>
      </c>
      <c r="F4" s="65" t="s">
        <v>241</v>
      </c>
      <c r="G4" s="4" t="s">
        <v>242</v>
      </c>
      <c r="H4" s="10"/>
      <c r="I4" s="3" t="s">
        <v>33</v>
      </c>
      <c r="J4" s="1">
        <v>44914</v>
      </c>
      <c r="K4" s="3" t="s">
        <v>34</v>
      </c>
    </row>
    <row r="5" spans="1:13" hidden="1">
      <c r="A5" s="17" t="s">
        <v>28</v>
      </c>
      <c r="B5" s="3">
        <v>2</v>
      </c>
      <c r="C5" s="4" t="s">
        <v>243</v>
      </c>
      <c r="D5" s="12">
        <v>16116027</v>
      </c>
      <c r="E5" s="4" t="s">
        <v>244</v>
      </c>
      <c r="F5" s="65" t="s">
        <v>245</v>
      </c>
      <c r="G5" s="4" t="s">
        <v>246</v>
      </c>
      <c r="H5" s="10"/>
      <c r="I5" s="3" t="s">
        <v>33</v>
      </c>
      <c r="J5" s="1">
        <v>44921</v>
      </c>
      <c r="K5" s="3" t="s">
        <v>34</v>
      </c>
    </row>
    <row r="6" spans="1:13" hidden="1">
      <c r="A6" s="17" t="s">
        <v>28</v>
      </c>
      <c r="B6" s="3">
        <v>3</v>
      </c>
      <c r="C6" s="4" t="s">
        <v>243</v>
      </c>
      <c r="D6" s="12">
        <v>16116028</v>
      </c>
      <c r="E6" s="4" t="s">
        <v>247</v>
      </c>
      <c r="F6" s="65" t="s">
        <v>248</v>
      </c>
      <c r="G6" s="4" t="s">
        <v>249</v>
      </c>
      <c r="H6" s="10"/>
      <c r="I6" s="3" t="s">
        <v>33</v>
      </c>
      <c r="J6" s="1">
        <v>44921</v>
      </c>
      <c r="K6" s="3" t="s">
        <v>34</v>
      </c>
    </row>
    <row r="7" spans="1:13" hidden="1">
      <c r="A7" s="17" t="s">
        <v>28</v>
      </c>
      <c r="B7" s="3">
        <v>4</v>
      </c>
      <c r="C7" s="4" t="s">
        <v>243</v>
      </c>
      <c r="D7" s="12">
        <v>16116029</v>
      </c>
      <c r="E7" s="4" t="s">
        <v>250</v>
      </c>
      <c r="F7" s="65">
        <v>8451</v>
      </c>
      <c r="G7" s="4" t="s">
        <v>246</v>
      </c>
      <c r="H7" s="10"/>
      <c r="I7" s="3" t="s">
        <v>74</v>
      </c>
      <c r="J7" s="1">
        <v>44945</v>
      </c>
      <c r="K7" s="3" t="s">
        <v>34</v>
      </c>
    </row>
    <row r="8" spans="1:13" hidden="1">
      <c r="A8" s="17" t="s">
        <v>28</v>
      </c>
      <c r="B8" s="3">
        <v>5</v>
      </c>
      <c r="C8" s="4" t="s">
        <v>243</v>
      </c>
      <c r="D8" s="12">
        <v>16116030</v>
      </c>
      <c r="E8" s="4" t="s">
        <v>251</v>
      </c>
      <c r="F8" s="65">
        <v>8487</v>
      </c>
      <c r="G8" s="4" t="s">
        <v>252</v>
      </c>
      <c r="H8" s="10"/>
      <c r="I8" s="3" t="s">
        <v>74</v>
      </c>
      <c r="J8" s="1">
        <v>44945</v>
      </c>
      <c r="K8" s="3" t="s">
        <v>34</v>
      </c>
    </row>
    <row r="9" spans="1:13" hidden="1">
      <c r="A9" s="17" t="s">
        <v>28</v>
      </c>
      <c r="B9" s="3">
        <v>6</v>
      </c>
      <c r="C9" s="4" t="s">
        <v>239</v>
      </c>
      <c r="D9" s="12">
        <v>16116031</v>
      </c>
      <c r="E9" s="4" t="s">
        <v>253</v>
      </c>
      <c r="F9" s="65">
        <v>8524</v>
      </c>
      <c r="G9" s="4" t="s">
        <v>242</v>
      </c>
      <c r="H9" s="10"/>
      <c r="I9" s="3" t="s">
        <v>74</v>
      </c>
      <c r="J9" s="1">
        <v>44950</v>
      </c>
      <c r="K9" s="3" t="s">
        <v>34</v>
      </c>
    </row>
    <row r="10" spans="1:13" hidden="1">
      <c r="A10" s="17" t="s">
        <v>28</v>
      </c>
      <c r="B10" s="3">
        <v>7</v>
      </c>
      <c r="C10" s="4" t="s">
        <v>239</v>
      </c>
      <c r="D10" s="12">
        <v>16116032</v>
      </c>
      <c r="E10" s="4" t="s">
        <v>254</v>
      </c>
      <c r="F10" s="65">
        <v>8770</v>
      </c>
      <c r="G10" s="4" t="s">
        <v>242</v>
      </c>
      <c r="H10" s="10"/>
      <c r="I10" s="3" t="s">
        <v>79</v>
      </c>
      <c r="J10" s="1">
        <v>44974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243</v>
      </c>
      <c r="D11" s="12">
        <v>16116033</v>
      </c>
      <c r="E11" s="4" t="s">
        <v>255</v>
      </c>
      <c r="F11" s="65">
        <v>8814</v>
      </c>
      <c r="G11" s="4" t="s">
        <v>246</v>
      </c>
      <c r="H11" s="10"/>
      <c r="I11" s="3" t="s">
        <v>79</v>
      </c>
      <c r="J11" s="1">
        <v>44995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239</v>
      </c>
      <c r="D12" s="12">
        <v>16116034</v>
      </c>
      <c r="E12" s="4"/>
      <c r="F12" s="65">
        <v>9007</v>
      </c>
      <c r="G12" s="4" t="s">
        <v>242</v>
      </c>
      <c r="H12" s="10"/>
      <c r="I12" s="3" t="s">
        <v>80</v>
      </c>
      <c r="J12" s="1">
        <v>45007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256</v>
      </c>
      <c r="D13" s="12">
        <v>16116035</v>
      </c>
      <c r="E13" s="4"/>
      <c r="F13" s="65">
        <v>9109</v>
      </c>
      <c r="G13" s="4" t="s">
        <v>257</v>
      </c>
      <c r="H13" s="10"/>
      <c r="I13" s="3" t="s">
        <v>80</v>
      </c>
      <c r="J13" s="1">
        <v>45016</v>
      </c>
      <c r="K13" s="3" t="s">
        <v>34</v>
      </c>
    </row>
    <row r="14" spans="1:13" hidden="1">
      <c r="A14" s="17" t="s">
        <v>28</v>
      </c>
      <c r="B14" s="3">
        <v>11</v>
      </c>
      <c r="C14" s="4" t="s">
        <v>239</v>
      </c>
      <c r="D14" s="12">
        <v>16116036</v>
      </c>
      <c r="E14" s="4"/>
      <c r="F14" s="65">
        <v>9178</v>
      </c>
      <c r="G14" s="4" t="s">
        <v>242</v>
      </c>
      <c r="H14" s="10"/>
      <c r="I14" s="3" t="s">
        <v>82</v>
      </c>
      <c r="J14" s="1">
        <v>45027</v>
      </c>
      <c r="K14" s="3" t="s">
        <v>34</v>
      </c>
    </row>
    <row r="15" spans="1:13" hidden="1">
      <c r="A15" s="17" t="s">
        <v>28</v>
      </c>
      <c r="B15" s="3">
        <v>12</v>
      </c>
      <c r="C15" s="4" t="s">
        <v>256</v>
      </c>
      <c r="D15" s="12">
        <v>16116037</v>
      </c>
      <c r="E15" s="4"/>
      <c r="F15" s="65">
        <v>9176</v>
      </c>
      <c r="G15" s="4" t="s">
        <v>257</v>
      </c>
      <c r="H15" s="10"/>
      <c r="I15" s="3" t="s">
        <v>82</v>
      </c>
      <c r="J15" s="1">
        <v>45028</v>
      </c>
      <c r="K15" s="3" t="s">
        <v>34</v>
      </c>
    </row>
    <row r="16" spans="1:13" hidden="1">
      <c r="A16" s="17" t="s">
        <v>28</v>
      </c>
      <c r="B16" s="3">
        <v>13</v>
      </c>
      <c r="C16" s="4" t="s">
        <v>239</v>
      </c>
      <c r="D16" s="12">
        <v>16116038</v>
      </c>
      <c r="E16" s="4"/>
      <c r="F16" s="65">
        <v>9432</v>
      </c>
      <c r="G16" s="4" t="s">
        <v>242</v>
      </c>
      <c r="H16" s="10"/>
      <c r="I16" s="3" t="s">
        <v>54</v>
      </c>
      <c r="J16" s="1">
        <v>45078</v>
      </c>
      <c r="K16" s="3" t="s">
        <v>34</v>
      </c>
    </row>
    <row r="17" spans="1:12" hidden="1">
      <c r="A17" s="17" t="s">
        <v>28</v>
      </c>
      <c r="B17" s="3">
        <v>14</v>
      </c>
      <c r="C17" s="4" t="s">
        <v>256</v>
      </c>
      <c r="D17" s="12">
        <v>16116039</v>
      </c>
      <c r="E17" s="4"/>
      <c r="F17" s="65">
        <v>9408</v>
      </c>
      <c r="G17" s="4" t="s">
        <v>257</v>
      </c>
      <c r="H17" s="10"/>
      <c r="I17" s="3" t="s">
        <v>54</v>
      </c>
      <c r="J17" s="1">
        <v>45078</v>
      </c>
      <c r="K17" s="3" t="s">
        <v>34</v>
      </c>
    </row>
    <row r="18" spans="1:12" hidden="1">
      <c r="A18" s="17" t="s">
        <v>28</v>
      </c>
      <c r="B18" s="3">
        <v>15</v>
      </c>
      <c r="C18" s="4" t="s">
        <v>239</v>
      </c>
      <c r="D18" s="12">
        <v>16116040</v>
      </c>
      <c r="E18" s="4"/>
      <c r="F18" s="65">
        <v>9841</v>
      </c>
      <c r="G18" s="4" t="s">
        <v>242</v>
      </c>
      <c r="H18" s="10"/>
      <c r="I18" s="3" t="s">
        <v>56</v>
      </c>
      <c r="J18" s="1">
        <v>45099</v>
      </c>
      <c r="K18" s="3" t="s">
        <v>34</v>
      </c>
    </row>
    <row r="19" spans="1:12" hidden="1">
      <c r="A19" s="17" t="s">
        <v>28</v>
      </c>
      <c r="B19" s="3">
        <v>16</v>
      </c>
      <c r="C19" s="4" t="s">
        <v>256</v>
      </c>
      <c r="D19" s="12">
        <v>16116041</v>
      </c>
      <c r="E19" s="4"/>
      <c r="F19" s="65">
        <v>9842</v>
      </c>
      <c r="G19" s="4" t="s">
        <v>257</v>
      </c>
      <c r="H19" s="10"/>
      <c r="I19" s="3" t="s">
        <v>56</v>
      </c>
      <c r="J19" s="1">
        <v>45097</v>
      </c>
      <c r="K19" s="3" t="s">
        <v>34</v>
      </c>
    </row>
    <row r="20" spans="1:12" hidden="1">
      <c r="A20" s="17" t="s">
        <v>28</v>
      </c>
      <c r="B20" s="3">
        <v>17</v>
      </c>
      <c r="C20" s="4" t="s">
        <v>256</v>
      </c>
      <c r="D20" s="12">
        <v>16116042</v>
      </c>
      <c r="E20" s="4"/>
      <c r="F20" s="65">
        <v>10060</v>
      </c>
      <c r="G20" s="4" t="s">
        <v>257</v>
      </c>
      <c r="H20" s="10"/>
      <c r="I20" s="3" t="s">
        <v>84</v>
      </c>
      <c r="J20" s="1">
        <v>45121</v>
      </c>
      <c r="K20" s="3" t="s">
        <v>34</v>
      </c>
    </row>
    <row r="21" spans="1:12" hidden="1">
      <c r="A21" s="17" t="s">
        <v>28</v>
      </c>
      <c r="B21" s="3">
        <v>18</v>
      </c>
      <c r="C21" s="4" t="s">
        <v>239</v>
      </c>
      <c r="D21" s="12">
        <v>16116043</v>
      </c>
      <c r="E21" s="4"/>
      <c r="F21" s="65">
        <v>10069</v>
      </c>
      <c r="G21" s="4" t="s">
        <v>242</v>
      </c>
      <c r="H21" s="10"/>
      <c r="I21" s="3" t="s">
        <v>84</v>
      </c>
      <c r="J21" s="1">
        <v>45119</v>
      </c>
      <c r="K21" s="3" t="s">
        <v>34</v>
      </c>
    </row>
    <row r="22" spans="1:12" hidden="1">
      <c r="A22" s="17" t="s">
        <v>28</v>
      </c>
      <c r="B22" s="3">
        <v>19</v>
      </c>
      <c r="C22" s="4" t="s">
        <v>239</v>
      </c>
      <c r="D22" s="12">
        <v>16116044</v>
      </c>
      <c r="E22" s="4"/>
      <c r="F22" s="65">
        <v>10283</v>
      </c>
      <c r="G22" s="4" t="s">
        <v>242</v>
      </c>
      <c r="H22" s="10"/>
      <c r="I22" s="3" t="s">
        <v>85</v>
      </c>
      <c r="J22" s="1">
        <v>45138</v>
      </c>
      <c r="K22" s="3" t="s">
        <v>34</v>
      </c>
    </row>
    <row r="23" spans="1:12" hidden="1">
      <c r="A23" s="17" t="s">
        <v>28</v>
      </c>
      <c r="B23" s="3">
        <v>20</v>
      </c>
      <c r="C23" s="4" t="s">
        <v>256</v>
      </c>
      <c r="D23" s="12">
        <v>16116045</v>
      </c>
      <c r="E23" s="4"/>
      <c r="F23" s="65">
        <v>10310</v>
      </c>
      <c r="G23" s="4" t="s">
        <v>257</v>
      </c>
      <c r="H23" s="10"/>
      <c r="I23" s="3" t="s">
        <v>85</v>
      </c>
      <c r="J23" s="1">
        <v>45140</v>
      </c>
      <c r="K23" s="3" t="s">
        <v>34</v>
      </c>
    </row>
    <row r="24" spans="1:12" hidden="1">
      <c r="A24" s="17" t="s">
        <v>28</v>
      </c>
      <c r="B24" s="3">
        <v>21</v>
      </c>
      <c r="C24" s="4" t="s">
        <v>239</v>
      </c>
      <c r="D24" s="12">
        <v>16116046</v>
      </c>
      <c r="E24" s="4"/>
      <c r="F24" s="65">
        <v>10495</v>
      </c>
      <c r="G24" s="4" t="s">
        <v>242</v>
      </c>
      <c r="H24" s="10"/>
      <c r="I24" s="3" t="s">
        <v>478</v>
      </c>
      <c r="J24" s="1">
        <v>45169</v>
      </c>
      <c r="K24" s="3" t="s">
        <v>34</v>
      </c>
    </row>
    <row r="25" spans="1:12" hidden="1">
      <c r="A25" s="17" t="s">
        <v>28</v>
      </c>
      <c r="B25" s="3">
        <v>22</v>
      </c>
      <c r="C25" s="4" t="s">
        <v>256</v>
      </c>
      <c r="D25" s="12">
        <v>16116047</v>
      </c>
      <c r="E25" s="4"/>
      <c r="F25" s="65">
        <v>10705</v>
      </c>
      <c r="G25" s="4" t="s">
        <v>257</v>
      </c>
      <c r="H25" s="10"/>
      <c r="I25" s="3" t="s">
        <v>478</v>
      </c>
      <c r="J25" s="1">
        <v>45196</v>
      </c>
      <c r="K25" s="3" t="s">
        <v>477</v>
      </c>
    </row>
    <row r="26" spans="1:12" hidden="1">
      <c r="A26" s="17" t="s">
        <v>44</v>
      </c>
      <c r="B26" s="3">
        <v>23</v>
      </c>
      <c r="C26" s="4" t="s">
        <v>239</v>
      </c>
      <c r="D26" s="12">
        <v>16116048</v>
      </c>
      <c r="E26" s="4"/>
      <c r="F26" s="65">
        <v>10863</v>
      </c>
      <c r="G26" s="4" t="s">
        <v>242</v>
      </c>
      <c r="H26" s="10"/>
      <c r="I26" s="3" t="s">
        <v>48</v>
      </c>
      <c r="J26" s="1">
        <v>45202</v>
      </c>
      <c r="K26" s="3" t="s">
        <v>477</v>
      </c>
    </row>
    <row r="27" spans="1:12" hidden="1">
      <c r="A27" s="17" t="s">
        <v>44</v>
      </c>
      <c r="B27" s="3">
        <v>24</v>
      </c>
      <c r="C27" s="4" t="s">
        <v>256</v>
      </c>
      <c r="D27" s="12">
        <v>16116049</v>
      </c>
      <c r="E27" s="4"/>
      <c r="F27" s="65" t="s">
        <v>482</v>
      </c>
      <c r="G27" s="4" t="s">
        <v>257</v>
      </c>
      <c r="H27" s="10"/>
      <c r="I27" s="3" t="s">
        <v>48</v>
      </c>
      <c r="J27" s="1">
        <v>45210</v>
      </c>
      <c r="K27" s="3" t="s">
        <v>477</v>
      </c>
    </row>
    <row r="28" spans="1:12" hidden="1">
      <c r="A28" s="17" t="s">
        <v>458</v>
      </c>
      <c r="B28" s="3">
        <v>25</v>
      </c>
      <c r="C28" s="4" t="s">
        <v>239</v>
      </c>
      <c r="D28" s="12">
        <v>16116050</v>
      </c>
      <c r="E28" s="4"/>
      <c r="F28" s="65">
        <v>11107</v>
      </c>
      <c r="G28" s="4" t="s">
        <v>242</v>
      </c>
      <c r="H28" s="10"/>
      <c r="I28" s="3" t="s">
        <v>49</v>
      </c>
      <c r="J28" s="1">
        <v>45234</v>
      </c>
      <c r="K28" s="3" t="s">
        <v>477</v>
      </c>
    </row>
    <row r="29" spans="1:12" hidden="1">
      <c r="A29" s="17"/>
      <c r="B29" s="3">
        <v>26</v>
      </c>
      <c r="C29" s="4" t="s">
        <v>256</v>
      </c>
      <c r="D29" s="12">
        <v>16116051</v>
      </c>
      <c r="E29" s="4"/>
      <c r="F29" s="65">
        <v>11296</v>
      </c>
      <c r="G29" s="4" t="s">
        <v>257</v>
      </c>
      <c r="H29" s="10"/>
      <c r="I29" s="3" t="s">
        <v>49</v>
      </c>
      <c r="J29" s="1">
        <v>45250</v>
      </c>
      <c r="K29" s="3" t="s">
        <v>477</v>
      </c>
    </row>
    <row r="30" spans="1:12" hidden="1">
      <c r="A30" s="149"/>
      <c r="B30" s="150">
        <v>27</v>
      </c>
      <c r="C30" s="151" t="s">
        <v>488</v>
      </c>
      <c r="D30" s="156">
        <v>16116052</v>
      </c>
      <c r="E30" s="151"/>
      <c r="F30" s="153">
        <v>11343</v>
      </c>
      <c r="G30" s="151" t="s">
        <v>489</v>
      </c>
      <c r="H30" s="154"/>
      <c r="I30" s="150" t="s">
        <v>48</v>
      </c>
      <c r="J30" s="155">
        <v>45252</v>
      </c>
      <c r="K30" s="150" t="s">
        <v>490</v>
      </c>
    </row>
    <row r="31" spans="1:12" hidden="1">
      <c r="A31" s="3"/>
      <c r="B31" s="3">
        <v>28</v>
      </c>
      <c r="C31" s="4" t="s">
        <v>488</v>
      </c>
      <c r="D31" s="12">
        <v>16116053</v>
      </c>
      <c r="E31" s="4"/>
      <c r="F31" s="65">
        <v>11367</v>
      </c>
      <c r="G31" s="4" t="s">
        <v>513</v>
      </c>
      <c r="H31" s="10"/>
      <c r="I31" s="3" t="s">
        <v>49</v>
      </c>
      <c r="J31" s="1">
        <v>45267</v>
      </c>
      <c r="K31" s="3" t="s">
        <v>490</v>
      </c>
      <c r="L31" s="4"/>
    </row>
    <row r="32" spans="1:12" hidden="1">
      <c r="A32" s="3"/>
      <c r="B32" s="3">
        <v>29</v>
      </c>
      <c r="C32" s="4" t="s">
        <v>239</v>
      </c>
      <c r="D32" s="12">
        <v>16116054</v>
      </c>
      <c r="E32" s="4"/>
      <c r="F32" s="65">
        <v>11433</v>
      </c>
      <c r="G32" s="4" t="s">
        <v>242</v>
      </c>
      <c r="H32" s="10"/>
      <c r="I32" s="3" t="s">
        <v>33</v>
      </c>
      <c r="J32" s="1">
        <v>45267</v>
      </c>
      <c r="K32" s="3" t="s">
        <v>490</v>
      </c>
      <c r="L32" s="4"/>
    </row>
    <row r="33" spans="1:12">
      <c r="A33" s="3"/>
      <c r="B33" s="3">
        <v>30</v>
      </c>
      <c r="C33" s="4" t="s">
        <v>256</v>
      </c>
      <c r="D33" s="12">
        <v>16116055</v>
      </c>
      <c r="E33" s="4"/>
      <c r="F33" s="65">
        <v>11607</v>
      </c>
      <c r="G33" s="4" t="s">
        <v>257</v>
      </c>
      <c r="H33" s="10"/>
      <c r="I33" s="3" t="s">
        <v>33</v>
      </c>
      <c r="J33" s="1">
        <v>45279</v>
      </c>
      <c r="K33" s="3" t="s">
        <v>490</v>
      </c>
      <c r="L33" s="4"/>
    </row>
    <row r="34" spans="1:12">
      <c r="A34" s="3"/>
      <c r="B34" s="3">
        <v>31</v>
      </c>
      <c r="C34" s="4" t="s">
        <v>256</v>
      </c>
      <c r="D34" s="12">
        <v>16116056</v>
      </c>
      <c r="E34" s="4"/>
      <c r="F34" s="65">
        <v>11607</v>
      </c>
      <c r="G34" s="4" t="s">
        <v>257</v>
      </c>
      <c r="H34" s="10"/>
      <c r="I34" s="3" t="s">
        <v>518</v>
      </c>
      <c r="J34" s="1">
        <v>45303</v>
      </c>
      <c r="K34" s="3" t="s">
        <v>490</v>
      </c>
      <c r="L34" s="4"/>
    </row>
    <row r="35" spans="1:12">
      <c r="A35" s="3"/>
      <c r="B35" s="3">
        <v>32</v>
      </c>
      <c r="C35" s="4" t="s">
        <v>239</v>
      </c>
      <c r="D35" s="12">
        <v>16116057</v>
      </c>
      <c r="E35" s="4"/>
      <c r="F35" s="65">
        <v>11882</v>
      </c>
      <c r="G35" s="4" t="s">
        <v>242</v>
      </c>
      <c r="H35" s="10"/>
      <c r="I35" s="3" t="s">
        <v>518</v>
      </c>
      <c r="J35" s="1">
        <v>45306</v>
      </c>
      <c r="K35" s="3" t="s">
        <v>490</v>
      </c>
      <c r="L35" s="4"/>
    </row>
    <row r="36" spans="1:12">
      <c r="A36" s="3"/>
      <c r="B36" s="3">
        <v>33</v>
      </c>
      <c r="C36" s="4" t="s">
        <v>488</v>
      </c>
      <c r="D36" s="12">
        <v>16116058</v>
      </c>
      <c r="E36" s="4"/>
      <c r="F36" s="65">
        <v>11960</v>
      </c>
      <c r="G36" s="4" t="s">
        <v>523</v>
      </c>
      <c r="H36" s="10"/>
      <c r="I36" s="3" t="s">
        <v>518</v>
      </c>
      <c r="J36" s="1">
        <v>45323</v>
      </c>
      <c r="K36" s="3" t="s">
        <v>490</v>
      </c>
      <c r="L36" s="4"/>
    </row>
    <row r="37" spans="1:12">
      <c r="A37" s="3"/>
      <c r="B37" s="3">
        <v>34</v>
      </c>
      <c r="C37" s="4" t="s">
        <v>525</v>
      </c>
      <c r="D37" s="12">
        <v>16116059</v>
      </c>
      <c r="E37" s="4"/>
      <c r="F37" s="65">
        <v>120044</v>
      </c>
      <c r="G37" s="4" t="s">
        <v>526</v>
      </c>
      <c r="H37" s="10"/>
      <c r="I37" s="3" t="s">
        <v>217</v>
      </c>
      <c r="J37" s="1">
        <v>45334</v>
      </c>
      <c r="K37" s="3" t="s">
        <v>490</v>
      </c>
      <c r="L37" s="4"/>
    </row>
    <row r="38" spans="1:12">
      <c r="A38" s="3"/>
      <c r="B38" s="3">
        <v>35</v>
      </c>
      <c r="C38" s="4" t="s">
        <v>527</v>
      </c>
      <c r="D38" s="12">
        <v>16116060</v>
      </c>
      <c r="E38" s="4"/>
      <c r="F38" s="65">
        <v>12034</v>
      </c>
      <c r="G38" s="4" t="s">
        <v>528</v>
      </c>
      <c r="H38" s="10"/>
      <c r="I38" s="3" t="s">
        <v>217</v>
      </c>
      <c r="J38" s="1">
        <v>45334</v>
      </c>
      <c r="K38" s="3" t="s">
        <v>490</v>
      </c>
      <c r="L38" s="4"/>
    </row>
    <row r="39" spans="1:12">
      <c r="A39" s="3"/>
      <c r="B39" s="3">
        <v>36</v>
      </c>
      <c r="C39" s="4" t="s">
        <v>488</v>
      </c>
      <c r="D39" s="12">
        <v>16116061</v>
      </c>
      <c r="E39" s="4"/>
      <c r="F39" s="65">
        <v>12203</v>
      </c>
      <c r="G39" s="4" t="s">
        <v>523</v>
      </c>
      <c r="H39" s="10"/>
      <c r="I39" s="3" t="s">
        <v>217</v>
      </c>
      <c r="J39" s="1">
        <v>45358</v>
      </c>
      <c r="K39" s="3" t="s">
        <v>490</v>
      </c>
      <c r="L39" s="4"/>
    </row>
    <row r="40" spans="1:12">
      <c r="A40" s="3"/>
      <c r="B40" s="3">
        <v>37</v>
      </c>
      <c r="C40" s="4" t="s">
        <v>527</v>
      </c>
      <c r="D40" s="12">
        <v>16116062</v>
      </c>
      <c r="E40" s="4"/>
      <c r="F40" s="65" t="s">
        <v>544</v>
      </c>
      <c r="G40" s="4" t="s">
        <v>528</v>
      </c>
      <c r="H40" s="10"/>
      <c r="I40" s="3" t="s">
        <v>535</v>
      </c>
      <c r="J40" s="1">
        <v>45377</v>
      </c>
      <c r="K40" s="3" t="s">
        <v>490</v>
      </c>
      <c r="L40" s="4"/>
    </row>
    <row r="41" spans="1:12">
      <c r="A41" s="3"/>
      <c r="B41" s="3">
        <v>38</v>
      </c>
      <c r="C41" s="4" t="s">
        <v>488</v>
      </c>
      <c r="D41" s="12">
        <v>16116063</v>
      </c>
      <c r="E41" s="4"/>
      <c r="F41" s="65" t="s">
        <v>555</v>
      </c>
      <c r="G41" s="4" t="s">
        <v>526</v>
      </c>
      <c r="H41" s="10"/>
      <c r="I41" s="3" t="s">
        <v>80</v>
      </c>
      <c r="J41" s="1">
        <v>45379</v>
      </c>
      <c r="K41" s="3" t="s">
        <v>490</v>
      </c>
      <c r="L41" s="4"/>
    </row>
    <row r="42" spans="1:12">
      <c r="A42" s="3"/>
      <c r="B42" s="3">
        <v>39</v>
      </c>
      <c r="C42" s="4" t="s">
        <v>488</v>
      </c>
      <c r="D42" s="12">
        <v>16116064</v>
      </c>
      <c r="E42" s="4"/>
      <c r="F42" s="65" t="s">
        <v>568</v>
      </c>
      <c r="G42" s="4" t="s">
        <v>526</v>
      </c>
      <c r="H42" s="10"/>
      <c r="I42" s="3" t="s">
        <v>82</v>
      </c>
      <c r="J42" s="1">
        <v>45397</v>
      </c>
      <c r="K42" s="3" t="s">
        <v>490</v>
      </c>
      <c r="L42" s="4"/>
    </row>
    <row r="43" spans="1:12">
      <c r="A43" s="3"/>
      <c r="B43" s="3">
        <v>40</v>
      </c>
      <c r="C43" s="4" t="s">
        <v>488</v>
      </c>
      <c r="D43" s="12">
        <v>16116065</v>
      </c>
      <c r="E43" s="4"/>
      <c r="F43" s="65" t="s">
        <v>597</v>
      </c>
      <c r="G43" s="4" t="s">
        <v>528</v>
      </c>
      <c r="H43" s="10"/>
      <c r="I43" s="3" t="s">
        <v>82</v>
      </c>
      <c r="J43" s="1">
        <v>45407</v>
      </c>
      <c r="K43" s="3" t="s">
        <v>490</v>
      </c>
      <c r="L43" s="4"/>
    </row>
    <row r="44" spans="1:12">
      <c r="A44" s="3"/>
      <c r="B44" s="3">
        <v>41</v>
      </c>
      <c r="C44" s="4" t="s">
        <v>488</v>
      </c>
      <c r="D44" s="12">
        <v>16116066</v>
      </c>
      <c r="E44" s="4"/>
      <c r="F44" s="65" t="s">
        <v>603</v>
      </c>
      <c r="G44" s="4" t="s">
        <v>526</v>
      </c>
      <c r="H44" s="10"/>
      <c r="I44" s="3" t="s">
        <v>54</v>
      </c>
      <c r="J44" s="1">
        <v>45432</v>
      </c>
      <c r="K44" s="3" t="s">
        <v>490</v>
      </c>
      <c r="L44" s="4"/>
    </row>
    <row r="45" spans="1:12">
      <c r="A45" s="3"/>
      <c r="B45" s="3">
        <v>42</v>
      </c>
      <c r="C45" s="4" t="s">
        <v>488</v>
      </c>
      <c r="D45" s="12">
        <v>16116067</v>
      </c>
      <c r="E45" s="4"/>
      <c r="F45" s="65" t="s">
        <v>604</v>
      </c>
      <c r="G45" s="4" t="s">
        <v>528</v>
      </c>
      <c r="H45" s="10"/>
      <c r="I45" s="3" t="s">
        <v>54</v>
      </c>
      <c r="J45" s="1">
        <v>45432</v>
      </c>
      <c r="K45" s="3" t="s">
        <v>490</v>
      </c>
      <c r="L45" s="4"/>
    </row>
    <row r="46" spans="1:12">
      <c r="A46" s="3"/>
      <c r="B46" s="3">
        <v>43</v>
      </c>
      <c r="C46" s="4" t="s">
        <v>527</v>
      </c>
      <c r="D46" s="12">
        <v>16116068</v>
      </c>
      <c r="E46" s="4"/>
      <c r="F46" s="65" t="s">
        <v>629</v>
      </c>
      <c r="G46" s="4" t="s">
        <v>630</v>
      </c>
      <c r="H46" s="10"/>
      <c r="I46" s="3" t="s">
        <v>54</v>
      </c>
      <c r="J46" s="1">
        <v>45441</v>
      </c>
      <c r="K46" s="3" t="s">
        <v>490</v>
      </c>
      <c r="L46" s="4"/>
    </row>
    <row r="47" spans="1:12">
      <c r="A47" s="3"/>
      <c r="B47" s="3">
        <v>44</v>
      </c>
      <c r="C47" s="4" t="s">
        <v>488</v>
      </c>
      <c r="D47" s="12">
        <v>16116069</v>
      </c>
      <c r="E47" s="4"/>
      <c r="F47" s="65">
        <v>13051</v>
      </c>
      <c r="G47" s="4" t="s">
        <v>526</v>
      </c>
      <c r="H47" s="10"/>
      <c r="I47" s="3" t="s">
        <v>56</v>
      </c>
      <c r="J47" s="1">
        <v>45461</v>
      </c>
      <c r="K47" s="3" t="s">
        <v>490</v>
      </c>
      <c r="L47" s="4"/>
    </row>
    <row r="48" spans="1:12">
      <c r="A48" s="3"/>
      <c r="B48" s="3">
        <v>45</v>
      </c>
      <c r="C48" s="4" t="s">
        <v>527</v>
      </c>
      <c r="D48" s="12">
        <v>16116070</v>
      </c>
      <c r="E48" s="4"/>
      <c r="F48" s="65">
        <v>13286</v>
      </c>
      <c r="G48" s="4" t="s">
        <v>630</v>
      </c>
      <c r="H48" s="10"/>
      <c r="I48" s="3" t="s">
        <v>56</v>
      </c>
      <c r="J48" s="1">
        <v>45470</v>
      </c>
      <c r="K48" s="3" t="s">
        <v>490</v>
      </c>
      <c r="L48" s="4"/>
    </row>
    <row r="49" spans="1:12">
      <c r="A49" s="3"/>
      <c r="B49" s="3">
        <v>46</v>
      </c>
      <c r="C49" s="4" t="s">
        <v>488</v>
      </c>
      <c r="D49" s="12">
        <v>16116071</v>
      </c>
      <c r="E49" s="4"/>
      <c r="F49" s="65">
        <v>13287</v>
      </c>
      <c r="G49" s="4" t="s">
        <v>528</v>
      </c>
      <c r="H49" s="10"/>
      <c r="I49" s="3" t="s">
        <v>56</v>
      </c>
      <c r="J49" s="1">
        <v>45470</v>
      </c>
      <c r="K49" s="3" t="s">
        <v>490</v>
      </c>
      <c r="L49" s="4"/>
    </row>
    <row r="50" spans="1:12">
      <c r="A50" s="3"/>
      <c r="B50" s="3">
        <v>47</v>
      </c>
      <c r="C50" s="4" t="s">
        <v>488</v>
      </c>
      <c r="D50" s="12">
        <v>16116072</v>
      </c>
      <c r="E50" s="4"/>
      <c r="F50" s="65">
        <v>13363</v>
      </c>
      <c r="G50" s="4" t="s">
        <v>526</v>
      </c>
      <c r="H50" s="10"/>
      <c r="I50" s="3" t="s">
        <v>84</v>
      </c>
      <c r="J50" s="1">
        <v>45489</v>
      </c>
      <c r="K50" s="3" t="s">
        <v>490</v>
      </c>
      <c r="L50" s="4"/>
    </row>
    <row r="51" spans="1:12">
      <c r="A51" s="3"/>
      <c r="B51" s="3">
        <v>48</v>
      </c>
      <c r="C51" s="4" t="s">
        <v>527</v>
      </c>
      <c r="D51" s="12">
        <v>16116073</v>
      </c>
      <c r="E51" s="4"/>
      <c r="F51" s="65">
        <v>13414</v>
      </c>
      <c r="G51" s="4" t="s">
        <v>630</v>
      </c>
      <c r="H51" s="10"/>
      <c r="I51" s="3" t="s">
        <v>84</v>
      </c>
      <c r="J51" s="1">
        <v>45489</v>
      </c>
      <c r="K51" s="3" t="s">
        <v>490</v>
      </c>
      <c r="L51" s="4"/>
    </row>
    <row r="52" spans="1:12">
      <c r="A52" s="3"/>
      <c r="B52" s="3">
        <v>49</v>
      </c>
      <c r="C52" s="4" t="s">
        <v>488</v>
      </c>
      <c r="D52" s="12">
        <v>16116074</v>
      </c>
      <c r="E52" s="4"/>
      <c r="F52" s="65">
        <v>13415</v>
      </c>
      <c r="G52" s="4" t="s">
        <v>528</v>
      </c>
      <c r="H52" s="10"/>
      <c r="I52" s="3" t="s">
        <v>84</v>
      </c>
      <c r="J52" s="1">
        <v>45500</v>
      </c>
      <c r="K52" s="3" t="s">
        <v>490</v>
      </c>
      <c r="L52" s="4"/>
    </row>
    <row r="53" spans="1:12">
      <c r="A53" s="3"/>
      <c r="B53" s="3">
        <v>50</v>
      </c>
      <c r="C53" s="4" t="s">
        <v>488</v>
      </c>
      <c r="D53" s="12">
        <v>16116075</v>
      </c>
      <c r="E53" s="4"/>
      <c r="F53" s="65">
        <v>13772</v>
      </c>
      <c r="G53" s="4" t="s">
        <v>528</v>
      </c>
      <c r="H53" s="10"/>
      <c r="I53" s="3" t="s">
        <v>85</v>
      </c>
      <c r="J53" s="156" t="s">
        <v>649</v>
      </c>
      <c r="K53" s="150" t="s">
        <v>477</v>
      </c>
      <c r="L53" s="4"/>
    </row>
    <row r="54" spans="1:12">
      <c r="A54" s="3"/>
      <c r="B54" s="3">
        <v>51</v>
      </c>
      <c r="C54" s="4" t="s">
        <v>488</v>
      </c>
      <c r="D54" s="12">
        <v>16116076</v>
      </c>
      <c r="E54" s="4"/>
      <c r="F54" s="65">
        <v>13670</v>
      </c>
      <c r="G54" s="4" t="s">
        <v>526</v>
      </c>
      <c r="H54" s="10"/>
      <c r="I54" s="3" t="s">
        <v>85</v>
      </c>
      <c r="J54" s="156" t="s">
        <v>649</v>
      </c>
      <c r="K54" s="150" t="s">
        <v>477</v>
      </c>
      <c r="L54" s="4"/>
    </row>
    <row r="55" spans="1:12">
      <c r="A55" s="3"/>
      <c r="B55" s="3">
        <v>52</v>
      </c>
      <c r="C55" s="4" t="s">
        <v>488</v>
      </c>
      <c r="D55" s="12">
        <v>16116077</v>
      </c>
      <c r="E55" s="4"/>
      <c r="F55" s="65">
        <v>14030</v>
      </c>
      <c r="G55" s="4" t="s">
        <v>528</v>
      </c>
      <c r="H55" s="10"/>
      <c r="I55" s="3" t="s">
        <v>478</v>
      </c>
      <c r="J55" s="156" t="s">
        <v>657</v>
      </c>
      <c r="K55" s="150" t="s">
        <v>653</v>
      </c>
      <c r="L55" s="4"/>
    </row>
    <row r="56" spans="1:12">
      <c r="A56" s="3"/>
      <c r="B56" s="3">
        <v>53</v>
      </c>
      <c r="C56" s="4" t="s">
        <v>488</v>
      </c>
      <c r="D56" s="12">
        <v>16116078</v>
      </c>
      <c r="E56" s="4"/>
      <c r="F56" s="65">
        <v>13884</v>
      </c>
      <c r="G56" s="4" t="s">
        <v>526</v>
      </c>
      <c r="H56" s="10"/>
      <c r="I56" s="3" t="s">
        <v>478</v>
      </c>
      <c r="J56" s="156" t="s">
        <v>657</v>
      </c>
      <c r="K56" s="150" t="s">
        <v>653</v>
      </c>
      <c r="L56" s="4"/>
    </row>
    <row r="57" spans="1:12">
      <c r="A57" s="3"/>
      <c r="B57" s="3">
        <v>54</v>
      </c>
      <c r="C57" s="4" t="s">
        <v>488</v>
      </c>
      <c r="D57" s="12">
        <v>16116079</v>
      </c>
      <c r="E57" s="4"/>
      <c r="F57" s="65">
        <v>14240</v>
      </c>
      <c r="G57" s="4" t="s">
        <v>528</v>
      </c>
      <c r="H57" s="10"/>
      <c r="I57" s="3" t="s">
        <v>662</v>
      </c>
      <c r="J57" s="12" t="s">
        <v>663</v>
      </c>
      <c r="K57" s="3" t="s">
        <v>653</v>
      </c>
      <c r="L57" s="4"/>
    </row>
    <row r="58" spans="1:12">
      <c r="A58" s="3"/>
      <c r="B58" s="3">
        <v>55</v>
      </c>
      <c r="C58" s="4" t="s">
        <v>488</v>
      </c>
      <c r="D58" s="12">
        <v>16116080</v>
      </c>
      <c r="E58" s="4"/>
      <c r="F58" s="65">
        <v>14205</v>
      </c>
      <c r="G58" s="4" t="s">
        <v>526</v>
      </c>
      <c r="H58" s="10"/>
      <c r="I58" s="3" t="s">
        <v>662</v>
      </c>
      <c r="J58" s="12" t="s">
        <v>663</v>
      </c>
      <c r="K58" s="3" t="s">
        <v>653</v>
      </c>
      <c r="L58" s="4"/>
    </row>
    <row r="59" spans="1:12">
      <c r="A59" s="3"/>
      <c r="B59" s="3">
        <v>56</v>
      </c>
      <c r="C59" s="4" t="s">
        <v>488</v>
      </c>
      <c r="D59" s="12">
        <v>16116081</v>
      </c>
      <c r="E59" s="4"/>
      <c r="F59" s="65">
        <v>14425</v>
      </c>
      <c r="G59" s="4" t="s">
        <v>526</v>
      </c>
      <c r="H59" s="10"/>
      <c r="I59" s="3" t="s">
        <v>515</v>
      </c>
      <c r="J59" s="12" t="s">
        <v>672</v>
      </c>
      <c r="K59" s="3" t="s">
        <v>653</v>
      </c>
      <c r="L59" s="4"/>
    </row>
    <row r="60" spans="1:12">
      <c r="A60" s="3"/>
      <c r="B60" s="3">
        <v>57</v>
      </c>
      <c r="C60" s="4" t="s">
        <v>488</v>
      </c>
      <c r="D60" s="12">
        <v>16116082</v>
      </c>
      <c r="E60" s="4"/>
      <c r="F60" s="65">
        <v>14657</v>
      </c>
      <c r="G60" s="4" t="s">
        <v>528</v>
      </c>
      <c r="H60" s="10"/>
      <c r="I60" s="3" t="s">
        <v>515</v>
      </c>
      <c r="J60" s="12" t="s">
        <v>675</v>
      </c>
      <c r="K60" s="3" t="s">
        <v>653</v>
      </c>
      <c r="L60" s="4"/>
    </row>
    <row r="61" spans="1:12">
      <c r="A61" s="3"/>
      <c r="B61" s="3">
        <v>58</v>
      </c>
      <c r="C61" s="4" t="s">
        <v>488</v>
      </c>
      <c r="D61" s="12">
        <v>16116083</v>
      </c>
      <c r="E61" s="4"/>
      <c r="F61" s="65">
        <v>14728</v>
      </c>
      <c r="G61" s="4" t="s">
        <v>526</v>
      </c>
      <c r="H61" s="10"/>
      <c r="I61" s="3" t="s">
        <v>33</v>
      </c>
      <c r="J61" s="144">
        <v>45645</v>
      </c>
      <c r="K61" s="3" t="s">
        <v>653</v>
      </c>
      <c r="L61" s="4"/>
    </row>
    <row r="62" spans="1:12">
      <c r="A62" s="3"/>
      <c r="B62" s="3">
        <v>59</v>
      </c>
      <c r="C62" s="4" t="s">
        <v>488</v>
      </c>
      <c r="D62" s="12">
        <v>16116084</v>
      </c>
      <c r="E62" s="4"/>
      <c r="F62" s="65">
        <v>14889</v>
      </c>
      <c r="G62" s="4" t="s">
        <v>528</v>
      </c>
      <c r="H62" s="10"/>
      <c r="I62" s="3" t="s">
        <v>33</v>
      </c>
      <c r="J62" s="144">
        <v>45645</v>
      </c>
      <c r="K62" s="3" t="s">
        <v>653</v>
      </c>
      <c r="L62" s="4"/>
    </row>
    <row r="63" spans="1:12">
      <c r="A63" s="3"/>
      <c r="B63" s="3">
        <v>60</v>
      </c>
      <c r="C63" s="4" t="s">
        <v>488</v>
      </c>
      <c r="D63" s="12">
        <v>16116085</v>
      </c>
      <c r="E63" s="4"/>
      <c r="F63" s="65">
        <v>15026</v>
      </c>
      <c r="G63" s="4" t="s">
        <v>528</v>
      </c>
      <c r="H63" s="10"/>
      <c r="I63" s="3" t="s">
        <v>518</v>
      </c>
      <c r="J63" s="144" t="s">
        <v>698</v>
      </c>
      <c r="K63" s="3" t="s">
        <v>653</v>
      </c>
      <c r="L63" s="4"/>
    </row>
    <row r="64" spans="1:12">
      <c r="A64" s="3"/>
      <c r="B64" s="3">
        <v>61</v>
      </c>
      <c r="C64" s="4" t="s">
        <v>488</v>
      </c>
      <c r="D64" s="12">
        <v>16116086</v>
      </c>
      <c r="E64" s="4"/>
      <c r="F64" s="65">
        <v>15122</v>
      </c>
      <c r="G64" s="4" t="s">
        <v>526</v>
      </c>
      <c r="H64" s="10"/>
      <c r="I64" s="3" t="s">
        <v>518</v>
      </c>
      <c r="J64" s="144" t="s">
        <v>698</v>
      </c>
      <c r="K64" s="3" t="s">
        <v>653</v>
      </c>
      <c r="L64" s="4"/>
    </row>
    <row r="65" spans="1:12">
      <c r="A65" s="3"/>
      <c r="B65" s="3">
        <v>62</v>
      </c>
      <c r="C65" s="4" t="s">
        <v>488</v>
      </c>
      <c r="D65" s="12">
        <v>16116087</v>
      </c>
      <c r="E65" s="4"/>
      <c r="F65" s="65">
        <v>15217</v>
      </c>
      <c r="G65" s="4" t="s">
        <v>526</v>
      </c>
      <c r="H65" s="10"/>
      <c r="I65" s="3" t="s">
        <v>217</v>
      </c>
      <c r="J65" s="144" t="s">
        <v>699</v>
      </c>
      <c r="K65" s="3" t="s">
        <v>653</v>
      </c>
      <c r="L65" s="4"/>
    </row>
    <row r="66" spans="1:12">
      <c r="A66" s="3"/>
      <c r="B66" s="3">
        <v>63</v>
      </c>
      <c r="C66" s="4" t="s">
        <v>488</v>
      </c>
      <c r="D66" s="12">
        <v>16116088</v>
      </c>
      <c r="E66" s="4"/>
      <c r="F66" s="65">
        <v>15173</v>
      </c>
      <c r="G66" s="4" t="s">
        <v>528</v>
      </c>
      <c r="H66" s="10"/>
      <c r="I66" s="3" t="s">
        <v>217</v>
      </c>
      <c r="J66" s="144" t="s">
        <v>699</v>
      </c>
      <c r="K66" s="3" t="s">
        <v>653</v>
      </c>
      <c r="L66" s="4"/>
    </row>
    <row r="67" spans="1:12">
      <c r="A67" s="3"/>
      <c r="B67" s="3">
        <v>64</v>
      </c>
      <c r="C67" s="4" t="s">
        <v>488</v>
      </c>
      <c r="D67" s="12">
        <v>16116089</v>
      </c>
      <c r="E67" s="4"/>
      <c r="F67" s="65" t="s">
        <v>713</v>
      </c>
      <c r="G67" s="4" t="s">
        <v>526</v>
      </c>
      <c r="H67" s="10"/>
      <c r="I67" s="3" t="s">
        <v>714</v>
      </c>
      <c r="J67" s="168">
        <v>45743</v>
      </c>
      <c r="K67" s="3" t="s">
        <v>715</v>
      </c>
      <c r="L67" s="4"/>
    </row>
    <row r="68" spans="1:12">
      <c r="A68" s="3"/>
      <c r="B68" s="3">
        <v>65</v>
      </c>
      <c r="C68" s="4" t="s">
        <v>488</v>
      </c>
      <c r="D68" s="12">
        <v>16116090</v>
      </c>
      <c r="E68" s="4"/>
      <c r="F68" s="65" t="s">
        <v>717</v>
      </c>
      <c r="G68" s="4" t="s">
        <v>528</v>
      </c>
      <c r="H68" s="10"/>
      <c r="I68" s="3" t="s">
        <v>714</v>
      </c>
      <c r="J68" s="168">
        <v>45743</v>
      </c>
      <c r="K68" s="3" t="s">
        <v>715</v>
      </c>
      <c r="L68" s="4"/>
    </row>
    <row r="69" spans="1:12">
      <c r="A69" s="3"/>
      <c r="B69" s="3">
        <v>66</v>
      </c>
      <c r="C69" s="4" t="s">
        <v>488</v>
      </c>
      <c r="D69" s="12">
        <v>16116091</v>
      </c>
      <c r="E69" s="4"/>
      <c r="F69" s="65">
        <v>15714</v>
      </c>
      <c r="G69" s="4" t="s">
        <v>526</v>
      </c>
      <c r="H69" s="10"/>
      <c r="I69" s="3" t="s">
        <v>754</v>
      </c>
      <c r="J69" s="168">
        <v>45763</v>
      </c>
      <c r="K69" s="3" t="s">
        <v>710</v>
      </c>
      <c r="L69" s="4"/>
    </row>
    <row r="70" spans="1:12">
      <c r="A70" s="3"/>
      <c r="B70" s="3">
        <v>67</v>
      </c>
      <c r="C70" s="4" t="s">
        <v>488</v>
      </c>
      <c r="D70" s="12">
        <v>16116092</v>
      </c>
      <c r="E70" s="4"/>
      <c r="F70" s="65">
        <v>15715</v>
      </c>
      <c r="G70" s="4" t="s">
        <v>528</v>
      </c>
      <c r="H70" s="10"/>
      <c r="I70" s="3" t="s">
        <v>754</v>
      </c>
      <c r="J70" s="168">
        <v>45763</v>
      </c>
      <c r="K70" s="3" t="s">
        <v>710</v>
      </c>
      <c r="L70" s="4"/>
    </row>
    <row r="71" spans="1:12">
      <c r="A71" s="3"/>
      <c r="B71" s="3">
        <v>68</v>
      </c>
      <c r="C71" s="4" t="s">
        <v>488</v>
      </c>
      <c r="D71" s="12">
        <v>16116093</v>
      </c>
      <c r="E71" s="4"/>
      <c r="F71" s="65" t="s">
        <v>782</v>
      </c>
      <c r="G71" s="4" t="s">
        <v>526</v>
      </c>
      <c r="H71" s="10"/>
      <c r="I71" s="3" t="s">
        <v>784</v>
      </c>
      <c r="J71" s="168">
        <v>45791</v>
      </c>
      <c r="K71" s="3" t="s">
        <v>710</v>
      </c>
      <c r="L71" s="4"/>
    </row>
    <row r="72" spans="1:12">
      <c r="A72" s="3"/>
      <c r="B72" s="3">
        <v>69</v>
      </c>
      <c r="C72" s="4" t="s">
        <v>488</v>
      </c>
      <c r="D72" s="12">
        <v>16116094</v>
      </c>
      <c r="E72" s="4"/>
      <c r="F72" s="65" t="s">
        <v>783</v>
      </c>
      <c r="G72" s="4" t="s">
        <v>528</v>
      </c>
      <c r="H72" s="10"/>
      <c r="I72" s="3" t="s">
        <v>784</v>
      </c>
      <c r="J72" s="168">
        <v>45791</v>
      </c>
      <c r="K72" s="3" t="s">
        <v>710</v>
      </c>
      <c r="L72" s="4"/>
    </row>
    <row r="73" spans="1:12">
      <c r="A73" s="3"/>
      <c r="B73" s="3">
        <v>70</v>
      </c>
      <c r="C73" s="4" t="s">
        <v>488</v>
      </c>
      <c r="D73" s="12">
        <v>16116095</v>
      </c>
      <c r="E73" s="4"/>
      <c r="F73" s="65">
        <v>16301</v>
      </c>
      <c r="G73" s="4" t="s">
        <v>526</v>
      </c>
      <c r="H73" s="10"/>
      <c r="I73" s="3" t="s">
        <v>635</v>
      </c>
      <c r="J73" s="168">
        <v>45834</v>
      </c>
      <c r="K73" s="3" t="s">
        <v>653</v>
      </c>
      <c r="L73" s="4"/>
    </row>
    <row r="74" spans="1:12">
      <c r="A74" s="3"/>
      <c r="B74" s="3">
        <v>71</v>
      </c>
      <c r="C74" s="4" t="s">
        <v>488</v>
      </c>
      <c r="D74" s="12">
        <v>16116096</v>
      </c>
      <c r="E74" s="4"/>
      <c r="F74" s="65">
        <v>16277</v>
      </c>
      <c r="G74" s="4" t="s">
        <v>528</v>
      </c>
      <c r="H74" s="10"/>
      <c r="I74" s="3" t="s">
        <v>635</v>
      </c>
      <c r="J74" s="168">
        <v>45834</v>
      </c>
      <c r="K74" s="3" t="s">
        <v>653</v>
      </c>
      <c r="L74" s="4"/>
    </row>
    <row r="75" spans="1:12">
      <c r="A75" s="3"/>
      <c r="B75" s="3">
        <v>72</v>
      </c>
      <c r="C75" s="4" t="s">
        <v>488</v>
      </c>
      <c r="D75" s="12">
        <v>16116097</v>
      </c>
      <c r="E75" s="4"/>
      <c r="F75" s="65">
        <v>16619</v>
      </c>
      <c r="G75" s="4" t="s">
        <v>526</v>
      </c>
      <c r="H75" s="10"/>
      <c r="I75" s="3" t="s">
        <v>640</v>
      </c>
      <c r="J75" s="168">
        <v>45861</v>
      </c>
      <c r="K75" s="3" t="s">
        <v>653</v>
      </c>
      <c r="L75" s="4"/>
    </row>
    <row r="76" spans="1:12">
      <c r="A76" s="3"/>
      <c r="B76" s="3">
        <v>73</v>
      </c>
      <c r="C76" s="4" t="s">
        <v>488</v>
      </c>
      <c r="D76" s="12">
        <v>16116098</v>
      </c>
      <c r="E76" s="4"/>
      <c r="F76" s="65">
        <v>16620</v>
      </c>
      <c r="G76" s="4" t="s">
        <v>528</v>
      </c>
      <c r="H76" s="10"/>
      <c r="I76" s="3" t="s">
        <v>640</v>
      </c>
      <c r="J76" s="168">
        <v>45861</v>
      </c>
      <c r="K76" s="3" t="s">
        <v>653</v>
      </c>
      <c r="L76" s="4"/>
    </row>
    <row r="77" spans="1:12">
      <c r="A77" s="3"/>
      <c r="B77" s="3">
        <v>74</v>
      </c>
      <c r="C77" s="4" t="s">
        <v>488</v>
      </c>
      <c r="D77" s="12">
        <v>16116099</v>
      </c>
      <c r="E77" s="4"/>
      <c r="F77" s="65">
        <v>17048</v>
      </c>
      <c r="G77" s="4" t="s">
        <v>526</v>
      </c>
      <c r="H77" s="10"/>
      <c r="I77" s="3" t="s">
        <v>85</v>
      </c>
      <c r="J77" s="168">
        <v>45889</v>
      </c>
      <c r="K77" s="3" t="s">
        <v>653</v>
      </c>
      <c r="L77" s="4"/>
    </row>
    <row r="78" spans="1:12">
      <c r="A78" s="3"/>
      <c r="B78" s="3">
        <v>75</v>
      </c>
      <c r="C78" s="4" t="s">
        <v>488</v>
      </c>
      <c r="D78" s="12">
        <v>16116100</v>
      </c>
      <c r="E78" s="4"/>
      <c r="F78" s="65">
        <v>17047</v>
      </c>
      <c r="G78" s="4" t="s">
        <v>528</v>
      </c>
      <c r="H78" s="10"/>
      <c r="I78" s="3" t="s">
        <v>85</v>
      </c>
      <c r="J78" s="168">
        <v>45889</v>
      </c>
      <c r="K78" s="3" t="s">
        <v>653</v>
      </c>
      <c r="L78" s="4"/>
    </row>
    <row r="79" spans="1:12">
      <c r="A79" s="3"/>
      <c r="B79" s="3">
        <v>76</v>
      </c>
      <c r="C79" s="4" t="s">
        <v>488</v>
      </c>
      <c r="D79" s="12">
        <v>16116101</v>
      </c>
      <c r="E79" s="4"/>
      <c r="F79" s="65">
        <v>17170</v>
      </c>
      <c r="G79" s="4" t="s">
        <v>526</v>
      </c>
      <c r="H79" s="10"/>
      <c r="I79" s="3" t="s">
        <v>481</v>
      </c>
      <c r="J79" s="168">
        <v>45916</v>
      </c>
      <c r="K79" s="3" t="s">
        <v>653</v>
      </c>
      <c r="L79" s="4"/>
    </row>
    <row r="80" spans="1:12">
      <c r="A80" s="3"/>
      <c r="B80" s="3">
        <v>77</v>
      </c>
      <c r="C80" s="4" t="s">
        <v>488</v>
      </c>
      <c r="D80" s="12">
        <v>16116102</v>
      </c>
      <c r="E80" s="4"/>
      <c r="F80" s="65">
        <v>17173</v>
      </c>
      <c r="G80" s="4" t="s">
        <v>528</v>
      </c>
      <c r="H80" s="10"/>
      <c r="I80" s="3" t="s">
        <v>481</v>
      </c>
      <c r="J80" s="168">
        <v>45916</v>
      </c>
      <c r="K80" s="3" t="s">
        <v>653</v>
      </c>
      <c r="L80" s="4"/>
    </row>
    <row r="81" spans="1:12">
      <c r="A81" s="3"/>
      <c r="B81" s="3">
        <v>78</v>
      </c>
      <c r="C81" s="4" t="s">
        <v>488</v>
      </c>
      <c r="D81" s="12">
        <v>16116103</v>
      </c>
      <c r="E81" s="4"/>
      <c r="F81" s="65">
        <v>17440</v>
      </c>
      <c r="G81" s="4" t="s">
        <v>526</v>
      </c>
      <c r="H81" s="10"/>
      <c r="I81" s="3" t="s">
        <v>661</v>
      </c>
      <c r="J81" s="168">
        <v>45946</v>
      </c>
      <c r="K81" s="3" t="s">
        <v>653</v>
      </c>
      <c r="L81" s="4"/>
    </row>
    <row r="82" spans="1:12">
      <c r="A82" s="3"/>
      <c r="B82" s="3">
        <v>79</v>
      </c>
      <c r="C82" s="4" t="s">
        <v>488</v>
      </c>
      <c r="D82" s="12">
        <v>16116104</v>
      </c>
      <c r="E82" s="4"/>
      <c r="F82" s="65">
        <v>17434</v>
      </c>
      <c r="G82" s="4" t="s">
        <v>528</v>
      </c>
      <c r="H82" s="10"/>
      <c r="I82" s="3" t="s">
        <v>661</v>
      </c>
      <c r="J82" s="168">
        <v>45946</v>
      </c>
      <c r="K82" s="3" t="s">
        <v>653</v>
      </c>
      <c r="L82" s="4"/>
    </row>
    <row r="83" spans="1:12">
      <c r="A83" s="3"/>
      <c r="B83" s="3">
        <v>80</v>
      </c>
      <c r="C83" s="4" t="s">
        <v>488</v>
      </c>
      <c r="D83" s="12">
        <v>16116105</v>
      </c>
      <c r="E83" s="4"/>
      <c r="F83" s="65">
        <v>17782</v>
      </c>
      <c r="G83" s="4" t="s">
        <v>526</v>
      </c>
      <c r="H83" s="10"/>
      <c r="I83" s="3" t="s">
        <v>857</v>
      </c>
      <c r="J83" s="168">
        <v>45975</v>
      </c>
      <c r="K83" s="3" t="s">
        <v>653</v>
      </c>
      <c r="L83" s="4"/>
    </row>
    <row r="84" spans="1:12">
      <c r="A84" s="3"/>
      <c r="B84" s="3">
        <v>81</v>
      </c>
      <c r="C84" s="4" t="s">
        <v>488</v>
      </c>
      <c r="D84" s="12">
        <v>16116106</v>
      </c>
      <c r="E84" s="4"/>
      <c r="F84" s="65">
        <v>17803</v>
      </c>
      <c r="G84" s="4" t="s">
        <v>528</v>
      </c>
      <c r="H84" s="10"/>
      <c r="I84" s="3" t="s">
        <v>857</v>
      </c>
      <c r="J84" s="168">
        <v>45975</v>
      </c>
      <c r="K84" s="3" t="s">
        <v>653</v>
      </c>
      <c r="L84" s="4"/>
    </row>
    <row r="85" spans="1:12">
      <c r="B85" s="3">
        <v>82</v>
      </c>
      <c r="C85" s="4" t="s">
        <v>488</v>
      </c>
      <c r="D85" s="12">
        <v>16116107</v>
      </c>
      <c r="F85" s="64">
        <v>18126</v>
      </c>
      <c r="G85" s="4" t="s">
        <v>526</v>
      </c>
      <c r="H85" s="10"/>
      <c r="I85" s="3" t="s">
        <v>860</v>
      </c>
      <c r="J85" s="168">
        <v>46008</v>
      </c>
      <c r="K85" s="3" t="s">
        <v>653</v>
      </c>
    </row>
    <row r="86" spans="1:12">
      <c r="B86" s="3">
        <v>83</v>
      </c>
      <c r="D86" s="12">
        <v>16116108</v>
      </c>
    </row>
  </sheetData>
  <autoFilter ref="A3:K6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91" priority="1" operator="containsText" text="見積！">
      <formula>NOT(ISERROR(SEARCH("見積！",A1)))</formula>
    </cfRule>
  </conditionalFormatting>
  <conditionalFormatting sqref="A4:A1048576">
    <cfRule type="containsText" dxfId="90" priority="4" operator="containsText" text="着手">
      <formula>NOT(ISERROR(SEARCH("着手",A4)))</formula>
    </cfRule>
    <cfRule type="containsText" dxfId="89" priority="5" operator="containsText" text="見積完了">
      <formula>NOT(ISERROR(SEARCH("見積完了",A4)))</formula>
    </cfRule>
    <cfRule type="containsText" dxfId="88" priority="6" operator="containsText" text="中止">
      <formula>NOT(ISERROR(SEARCH("中止",A4)))</formula>
    </cfRule>
    <cfRule type="containsText" dxfId="87" priority="7" operator="containsText" text="保留">
      <formula>NOT(ISERROR(SEARCH("保留",A4)))</formula>
    </cfRule>
    <cfRule type="containsText" dxfId="86" priority="8" operator="containsText" text="進行中">
      <formula>NOT(ISERROR(SEARCH("進行中",A4)))</formula>
    </cfRule>
    <cfRule type="containsText" dxfId="85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I1:I1048576 K1:L1048576 G2:G1048576" xr:uid="{F0348D14-E756-4413-B274-1462853A6CBC}"/>
    <dataValidation imeMode="off" allowBlank="1" showInputMessage="1" showErrorMessage="1" sqref="G1 B1:B1048576 J1:J1048576 D1:F1048576 H1:H1048576" xr:uid="{4F245D0D-B700-4CE0-A5BE-6605543F1470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26B086-D05A-480C-8837-67A4C19104FD}">
          <x14:formula1>
            <xm:f>タスク!$B$3:$B$14</xm:f>
          </x14:formula1>
          <xm:sqref>A4:A1048576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A2FF-6080-4FBF-B7C3-AE4B27E8D9F6}">
  <sheetPr codeName="Sheet14">
    <pageSetUpPr fitToPage="1"/>
  </sheetPr>
  <dimension ref="A1:M120"/>
  <sheetViews>
    <sheetView zoomScaleNormal="100" workbookViewId="0">
      <pane ySplit="3" topLeftCell="A4" activePane="bottomLeft" state="frozen"/>
      <selection activeCell="A11" sqref="A11"/>
      <selection pane="bottomLeft" activeCell="A17" sqref="A3:XFD17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s="8" customFormat="1" ht="18.600000000000001" hidden="1" thickTop="1">
      <c r="A4" s="17" t="s">
        <v>28</v>
      </c>
      <c r="B4" s="3">
        <v>1</v>
      </c>
      <c r="C4" s="4" t="s">
        <v>221</v>
      </c>
      <c r="D4" s="12">
        <v>16118008</v>
      </c>
      <c r="E4" s="4" t="s">
        <v>222</v>
      </c>
      <c r="F4" s="65">
        <v>8141</v>
      </c>
      <c r="G4" s="4" t="s">
        <v>223</v>
      </c>
      <c r="H4" s="10"/>
      <c r="I4" s="3" t="s">
        <v>33</v>
      </c>
      <c r="J4" s="1">
        <v>44923</v>
      </c>
      <c r="K4" s="3" t="s">
        <v>34</v>
      </c>
      <c r="L4" s="5"/>
      <c r="M4"/>
    </row>
    <row r="5" spans="1:13" s="8" customFormat="1" hidden="1">
      <c r="A5" s="17" t="s">
        <v>28</v>
      </c>
      <c r="B5" s="3">
        <v>2</v>
      </c>
      <c r="C5" s="4" t="s">
        <v>221</v>
      </c>
      <c r="D5" s="12">
        <v>16118009</v>
      </c>
      <c r="E5" s="4" t="s">
        <v>224</v>
      </c>
      <c r="F5" s="65">
        <v>8398</v>
      </c>
      <c r="G5" s="4" t="s">
        <v>223</v>
      </c>
      <c r="H5" s="10"/>
      <c r="I5" s="3" t="s">
        <v>74</v>
      </c>
      <c r="J5" s="1">
        <v>44965</v>
      </c>
      <c r="K5" s="3" t="s">
        <v>34</v>
      </c>
      <c r="L5" s="5"/>
      <c r="M5"/>
    </row>
    <row r="6" spans="1:13" s="8" customFormat="1" hidden="1">
      <c r="A6" s="17" t="s">
        <v>28</v>
      </c>
      <c r="B6" s="3">
        <v>3</v>
      </c>
      <c r="C6" s="4" t="s">
        <v>221</v>
      </c>
      <c r="D6" s="12">
        <v>16118010</v>
      </c>
      <c r="E6" s="4"/>
      <c r="F6" s="65">
        <v>8735</v>
      </c>
      <c r="G6" s="4" t="s">
        <v>223</v>
      </c>
      <c r="H6" s="10"/>
      <c r="I6" s="3" t="s">
        <v>79</v>
      </c>
      <c r="J6" s="1">
        <v>44994</v>
      </c>
      <c r="K6" s="3" t="s">
        <v>34</v>
      </c>
      <c r="L6" s="5"/>
      <c r="M6"/>
    </row>
    <row r="7" spans="1:13" s="8" customFormat="1" hidden="1">
      <c r="A7" s="17" t="s">
        <v>28</v>
      </c>
      <c r="B7" s="3">
        <v>4</v>
      </c>
      <c r="C7" s="4" t="s">
        <v>221</v>
      </c>
      <c r="D7" s="12">
        <v>16118011</v>
      </c>
      <c r="E7" s="4"/>
      <c r="F7" s="65">
        <v>9031</v>
      </c>
      <c r="G7" s="4" t="s">
        <v>223</v>
      </c>
      <c r="H7" s="10"/>
      <c r="I7" s="3" t="s">
        <v>80</v>
      </c>
      <c r="J7" s="1">
        <v>45016</v>
      </c>
      <c r="K7" s="3" t="s">
        <v>34</v>
      </c>
      <c r="L7" s="5"/>
      <c r="M7"/>
    </row>
    <row r="8" spans="1:13" s="8" customFormat="1" hidden="1">
      <c r="A8" s="17" t="s">
        <v>28</v>
      </c>
      <c r="B8" s="3">
        <v>5</v>
      </c>
      <c r="C8" s="4" t="s">
        <v>221</v>
      </c>
      <c r="D8" s="12">
        <v>16118012</v>
      </c>
      <c r="E8" s="4"/>
      <c r="F8" s="65">
        <v>9352</v>
      </c>
      <c r="G8" s="4" t="s">
        <v>223</v>
      </c>
      <c r="H8" s="10"/>
      <c r="I8" s="3" t="s">
        <v>82</v>
      </c>
      <c r="J8" s="1">
        <v>45044</v>
      </c>
      <c r="K8" s="3" t="s">
        <v>34</v>
      </c>
      <c r="L8" s="5"/>
      <c r="M8"/>
    </row>
    <row r="9" spans="1:13" s="8" customFormat="1" hidden="1">
      <c r="A9" s="17" t="s">
        <v>28</v>
      </c>
      <c r="B9" s="3">
        <v>6</v>
      </c>
      <c r="C9" s="4" t="s">
        <v>221</v>
      </c>
      <c r="D9" s="12">
        <v>16118013</v>
      </c>
      <c r="E9" s="4"/>
      <c r="F9" s="65">
        <v>9520</v>
      </c>
      <c r="G9" s="4" t="s">
        <v>223</v>
      </c>
      <c r="H9" s="10"/>
      <c r="I9" s="3" t="s">
        <v>42</v>
      </c>
      <c r="J9" s="1">
        <v>45078</v>
      </c>
      <c r="K9" s="3" t="s">
        <v>34</v>
      </c>
      <c r="L9" s="5"/>
      <c r="M9"/>
    </row>
    <row r="10" spans="1:13" s="8" customFormat="1" hidden="1">
      <c r="A10" s="17" t="s">
        <v>28</v>
      </c>
      <c r="B10" s="3">
        <v>7</v>
      </c>
      <c r="C10" s="4" t="s">
        <v>221</v>
      </c>
      <c r="D10" s="12">
        <v>16118014</v>
      </c>
      <c r="E10" s="4"/>
      <c r="F10" s="65">
        <v>9880</v>
      </c>
      <c r="G10" s="4" t="s">
        <v>223</v>
      </c>
      <c r="H10" s="10"/>
      <c r="I10" s="3" t="s">
        <v>56</v>
      </c>
      <c r="J10" s="1">
        <v>45103</v>
      </c>
      <c r="K10" s="3" t="s">
        <v>34</v>
      </c>
      <c r="L10" s="5"/>
      <c r="M10"/>
    </row>
    <row r="11" spans="1:13" s="8" customFormat="1" hidden="1">
      <c r="A11" s="17" t="s">
        <v>28</v>
      </c>
      <c r="B11" s="3">
        <v>8</v>
      </c>
      <c r="C11" s="4" t="s">
        <v>221</v>
      </c>
      <c r="D11" s="12">
        <v>16118015</v>
      </c>
      <c r="E11" s="4"/>
      <c r="F11" s="65">
        <v>10208</v>
      </c>
      <c r="G11" s="4" t="s">
        <v>223</v>
      </c>
      <c r="H11" s="10"/>
      <c r="I11" s="3" t="s">
        <v>84</v>
      </c>
      <c r="J11" s="1">
        <v>45128</v>
      </c>
      <c r="K11" s="3" t="s">
        <v>34</v>
      </c>
      <c r="L11" s="5"/>
      <c r="M11"/>
    </row>
    <row r="12" spans="1:13" s="8" customFormat="1" hidden="1">
      <c r="A12" s="17" t="s">
        <v>28</v>
      </c>
      <c r="B12" s="3">
        <v>9</v>
      </c>
      <c r="C12" s="4" t="s">
        <v>221</v>
      </c>
      <c r="D12" s="12">
        <v>16118016</v>
      </c>
      <c r="E12" s="4"/>
      <c r="F12" s="65">
        <v>10439</v>
      </c>
      <c r="G12" s="4" t="s">
        <v>223</v>
      </c>
      <c r="H12" s="10"/>
      <c r="I12" s="3" t="s">
        <v>470</v>
      </c>
      <c r="J12" s="1">
        <v>45160</v>
      </c>
      <c r="K12" s="3" t="s">
        <v>34</v>
      </c>
      <c r="L12" s="5"/>
      <c r="M12"/>
    </row>
    <row r="13" spans="1:13" s="8" customFormat="1" hidden="1">
      <c r="A13" s="17" t="s">
        <v>28</v>
      </c>
      <c r="B13" s="3">
        <v>10</v>
      </c>
      <c r="C13" s="4" t="s">
        <v>221</v>
      </c>
      <c r="D13" s="12">
        <v>16118017</v>
      </c>
      <c r="E13" s="4"/>
      <c r="F13" s="65">
        <v>10611</v>
      </c>
      <c r="G13" s="4" t="s">
        <v>223</v>
      </c>
      <c r="H13" s="10"/>
      <c r="I13" s="3" t="s">
        <v>47</v>
      </c>
      <c r="J13" s="1">
        <v>45198</v>
      </c>
      <c r="K13" s="3" t="s">
        <v>477</v>
      </c>
      <c r="L13" s="5"/>
      <c r="M13"/>
    </row>
    <row r="14" spans="1:13" s="8" customFormat="1" hidden="1">
      <c r="A14" s="17" t="s">
        <v>44</v>
      </c>
      <c r="B14" s="3">
        <v>11</v>
      </c>
      <c r="C14" s="4" t="s">
        <v>221</v>
      </c>
      <c r="D14" s="12">
        <v>16118018</v>
      </c>
      <c r="E14" s="4"/>
      <c r="F14" s="65">
        <v>11000</v>
      </c>
      <c r="G14" s="4" t="s">
        <v>223</v>
      </c>
      <c r="H14" s="10"/>
      <c r="I14" s="3" t="s">
        <v>48</v>
      </c>
      <c r="J14" s="1">
        <v>45225</v>
      </c>
      <c r="K14" s="3" t="s">
        <v>477</v>
      </c>
      <c r="L14" s="5"/>
      <c r="M14"/>
    </row>
    <row r="15" spans="1:13" s="8" customFormat="1" hidden="1">
      <c r="A15" s="149"/>
      <c r="B15" s="150">
        <v>12</v>
      </c>
      <c r="C15" s="151" t="s">
        <v>221</v>
      </c>
      <c r="D15" s="156">
        <v>16118019</v>
      </c>
      <c r="E15" s="151"/>
      <c r="F15" s="153">
        <v>11322</v>
      </c>
      <c r="G15" s="151" t="s">
        <v>223</v>
      </c>
      <c r="H15" s="154"/>
      <c r="I15" s="150" t="s">
        <v>49</v>
      </c>
      <c r="J15" s="155">
        <v>45221</v>
      </c>
      <c r="K15" s="150" t="s">
        <v>490</v>
      </c>
      <c r="L15" s="5"/>
      <c r="M15"/>
    </row>
    <row r="16" spans="1:13" s="8" customFormat="1" hidden="1">
      <c r="A16" s="3"/>
      <c r="B16" s="3">
        <v>13</v>
      </c>
      <c r="C16" s="4" t="s">
        <v>221</v>
      </c>
      <c r="D16" s="12">
        <v>16118020</v>
      </c>
      <c r="E16" s="4"/>
      <c r="F16" s="65" t="s">
        <v>512</v>
      </c>
      <c r="G16" s="4" t="s">
        <v>223</v>
      </c>
      <c r="H16" s="10"/>
      <c r="I16" s="3" t="s">
        <v>33</v>
      </c>
      <c r="J16" s="1">
        <v>45275</v>
      </c>
      <c r="K16" s="3" t="s">
        <v>490</v>
      </c>
      <c r="L16" s="4"/>
      <c r="M16"/>
    </row>
    <row r="17" spans="1:12">
      <c r="A17" s="3"/>
      <c r="B17" s="3">
        <v>14</v>
      </c>
      <c r="C17" s="4" t="s">
        <v>221</v>
      </c>
      <c r="D17" s="12">
        <v>16118021</v>
      </c>
      <c r="E17" s="4"/>
      <c r="F17" s="65">
        <v>11818</v>
      </c>
      <c r="G17" s="4" t="s">
        <v>223</v>
      </c>
      <c r="H17" s="10"/>
      <c r="I17" s="3" t="s">
        <v>518</v>
      </c>
      <c r="J17" s="1">
        <v>45310</v>
      </c>
      <c r="K17" s="3" t="s">
        <v>490</v>
      </c>
      <c r="L17" s="4" t="s">
        <v>530</v>
      </c>
    </row>
    <row r="18" spans="1:12">
      <c r="A18" s="3"/>
      <c r="B18" s="3">
        <v>15</v>
      </c>
      <c r="C18" s="4" t="s">
        <v>221</v>
      </c>
      <c r="D18" s="12">
        <v>16118022</v>
      </c>
      <c r="E18" s="4"/>
      <c r="F18" s="65">
        <v>12146</v>
      </c>
      <c r="G18" s="4" t="s">
        <v>223</v>
      </c>
      <c r="H18" s="10"/>
      <c r="I18" s="3" t="s">
        <v>217</v>
      </c>
      <c r="J18" s="1">
        <v>45337</v>
      </c>
      <c r="K18" s="3" t="s">
        <v>490</v>
      </c>
      <c r="L18" s="4"/>
    </row>
    <row r="19" spans="1:12">
      <c r="A19" s="3"/>
      <c r="B19" s="3">
        <v>16</v>
      </c>
      <c r="C19" s="4" t="s">
        <v>221</v>
      </c>
      <c r="D19" s="12">
        <v>16118023</v>
      </c>
      <c r="E19" s="4"/>
      <c r="F19" s="65">
        <v>11818</v>
      </c>
      <c r="G19" s="4" t="s">
        <v>223</v>
      </c>
      <c r="H19" s="10"/>
      <c r="I19" s="3" t="s">
        <v>74</v>
      </c>
      <c r="J19" s="1">
        <v>45341</v>
      </c>
      <c r="K19" s="3" t="s">
        <v>490</v>
      </c>
      <c r="L19" s="4" t="s">
        <v>529</v>
      </c>
    </row>
    <row r="20" spans="1:12">
      <c r="A20" s="3"/>
      <c r="B20" s="3">
        <v>17</v>
      </c>
      <c r="C20" s="4" t="s">
        <v>221</v>
      </c>
      <c r="D20" s="12">
        <v>16118024</v>
      </c>
      <c r="E20" s="4"/>
      <c r="F20" s="65" t="s">
        <v>554</v>
      </c>
      <c r="G20" s="4" t="s">
        <v>223</v>
      </c>
      <c r="H20" s="10"/>
      <c r="I20" s="3" t="s">
        <v>535</v>
      </c>
      <c r="J20" s="1">
        <v>45377</v>
      </c>
      <c r="K20" s="3" t="s">
        <v>490</v>
      </c>
      <c r="L20" s="4"/>
    </row>
    <row r="21" spans="1:12">
      <c r="A21" s="3"/>
      <c r="B21" s="3">
        <v>18</v>
      </c>
      <c r="C21" s="4" t="s">
        <v>582</v>
      </c>
      <c r="D21" s="12">
        <v>16118025</v>
      </c>
      <c r="E21" s="4"/>
      <c r="F21" s="65" t="s">
        <v>583</v>
      </c>
      <c r="G21" s="4" t="s">
        <v>223</v>
      </c>
      <c r="H21" s="10"/>
      <c r="I21" s="3" t="s">
        <v>572</v>
      </c>
      <c r="J21" s="1">
        <v>45401</v>
      </c>
      <c r="K21" s="3" t="s">
        <v>490</v>
      </c>
      <c r="L21" s="4"/>
    </row>
    <row r="22" spans="1:12">
      <c r="A22" s="3"/>
      <c r="B22" s="3">
        <v>19</v>
      </c>
      <c r="C22" s="4" t="s">
        <v>582</v>
      </c>
      <c r="D22" s="12">
        <v>16118026</v>
      </c>
      <c r="E22" s="4"/>
      <c r="F22" s="65" t="s">
        <v>610</v>
      </c>
      <c r="G22" s="4" t="s">
        <v>223</v>
      </c>
      <c r="H22" s="10"/>
      <c r="I22" s="3" t="s">
        <v>54</v>
      </c>
      <c r="J22" s="1">
        <v>45433</v>
      </c>
      <c r="K22" s="3" t="s">
        <v>490</v>
      </c>
      <c r="L22" s="4"/>
    </row>
    <row r="23" spans="1:12">
      <c r="A23" s="3"/>
      <c r="B23" s="3">
        <v>20</v>
      </c>
      <c r="C23" s="4" t="s">
        <v>582</v>
      </c>
      <c r="D23" s="12">
        <v>16118027</v>
      </c>
      <c r="E23" s="4"/>
      <c r="F23" s="65">
        <v>13259</v>
      </c>
      <c r="G23" s="4" t="s">
        <v>223</v>
      </c>
      <c r="H23" s="10"/>
      <c r="I23" s="3" t="s">
        <v>56</v>
      </c>
      <c r="J23" s="1">
        <v>45467</v>
      </c>
      <c r="K23" s="3" t="s">
        <v>477</v>
      </c>
      <c r="L23" s="4"/>
    </row>
    <row r="24" spans="1:12">
      <c r="A24" s="3"/>
      <c r="B24" s="3">
        <v>21</v>
      </c>
      <c r="C24" s="4" t="s">
        <v>582</v>
      </c>
      <c r="D24" s="12">
        <v>16118028</v>
      </c>
      <c r="E24" s="4"/>
      <c r="F24" s="65">
        <v>13561</v>
      </c>
      <c r="G24" s="4" t="s">
        <v>223</v>
      </c>
      <c r="H24" s="10"/>
      <c r="I24" s="3" t="s">
        <v>84</v>
      </c>
      <c r="J24" s="12" t="s">
        <v>642</v>
      </c>
      <c r="K24" s="3" t="s">
        <v>477</v>
      </c>
      <c r="L24" s="4"/>
    </row>
    <row r="25" spans="1:12">
      <c r="A25" s="3"/>
      <c r="B25" s="3">
        <v>22</v>
      </c>
      <c r="C25" s="4" t="s">
        <v>582</v>
      </c>
      <c r="D25" s="12">
        <v>16118029</v>
      </c>
      <c r="E25" s="4"/>
      <c r="F25" s="65">
        <v>13835</v>
      </c>
      <c r="G25" s="4" t="s">
        <v>223</v>
      </c>
      <c r="H25" s="10"/>
      <c r="I25" s="3" t="s">
        <v>85</v>
      </c>
      <c r="J25" s="12" t="s">
        <v>651</v>
      </c>
      <c r="K25" s="3" t="s">
        <v>477</v>
      </c>
      <c r="L25" s="4"/>
    </row>
    <row r="26" spans="1:12">
      <c r="A26" s="3"/>
      <c r="B26" s="3">
        <v>23</v>
      </c>
      <c r="C26" s="4" t="s">
        <v>582</v>
      </c>
      <c r="D26" s="12">
        <v>16118030</v>
      </c>
      <c r="E26" s="4"/>
      <c r="F26" s="65">
        <v>14067</v>
      </c>
      <c r="G26" s="4" t="s">
        <v>223</v>
      </c>
      <c r="H26" s="10"/>
      <c r="I26" s="3" t="s">
        <v>478</v>
      </c>
      <c r="J26" s="156" t="s">
        <v>660</v>
      </c>
      <c r="K26" s="150" t="s">
        <v>653</v>
      </c>
      <c r="L26" s="4"/>
    </row>
    <row r="27" spans="1:12">
      <c r="A27" s="3"/>
      <c r="B27" s="3">
        <v>24</v>
      </c>
      <c r="C27" s="4" t="s">
        <v>582</v>
      </c>
      <c r="D27" s="12">
        <v>16118032</v>
      </c>
      <c r="E27" s="4"/>
      <c r="F27" s="65">
        <v>14359</v>
      </c>
      <c r="G27" s="4" t="s">
        <v>223</v>
      </c>
      <c r="H27" s="10"/>
      <c r="I27" s="3" t="s">
        <v>665</v>
      </c>
      <c r="J27" s="156" t="s">
        <v>666</v>
      </c>
      <c r="K27" s="150" t="s">
        <v>653</v>
      </c>
      <c r="L27" s="4"/>
    </row>
    <row r="28" spans="1:12">
      <c r="A28" s="3"/>
      <c r="B28" s="3">
        <v>25</v>
      </c>
      <c r="C28" s="4" t="s">
        <v>582</v>
      </c>
      <c r="D28" s="12">
        <v>16118033</v>
      </c>
      <c r="E28" s="4"/>
      <c r="F28" s="65">
        <v>14582</v>
      </c>
      <c r="G28" s="4" t="s">
        <v>223</v>
      </c>
      <c r="H28" s="10"/>
      <c r="I28" s="3" t="s">
        <v>515</v>
      </c>
      <c r="J28" s="156" t="s">
        <v>672</v>
      </c>
      <c r="K28" s="150" t="s">
        <v>653</v>
      </c>
      <c r="L28" s="4"/>
    </row>
    <row r="29" spans="1:12">
      <c r="A29" s="3"/>
      <c r="B29" s="3">
        <v>26</v>
      </c>
      <c r="C29" s="4" t="s">
        <v>582</v>
      </c>
      <c r="D29" s="12">
        <v>16118034</v>
      </c>
      <c r="E29" s="4"/>
      <c r="F29" s="65">
        <v>14896</v>
      </c>
      <c r="G29" s="4" t="s">
        <v>223</v>
      </c>
      <c r="H29" s="10"/>
      <c r="I29" s="3" t="s">
        <v>33</v>
      </c>
      <c r="J29" s="144">
        <v>45645</v>
      </c>
      <c r="K29" s="3" t="s">
        <v>653</v>
      </c>
      <c r="L29" s="4"/>
    </row>
    <row r="30" spans="1:12">
      <c r="A30" s="3"/>
      <c r="B30" s="3">
        <v>27</v>
      </c>
      <c r="C30" s="4" t="s">
        <v>582</v>
      </c>
      <c r="D30" s="12">
        <v>16118035</v>
      </c>
      <c r="E30" s="4"/>
      <c r="F30" s="65">
        <v>15156</v>
      </c>
      <c r="G30" s="4" t="s">
        <v>223</v>
      </c>
      <c r="H30" s="10"/>
      <c r="I30" s="3" t="s">
        <v>518</v>
      </c>
      <c r="J30" s="144" t="s">
        <v>698</v>
      </c>
      <c r="K30" s="3" t="s">
        <v>653</v>
      </c>
      <c r="L30" s="4"/>
    </row>
    <row r="31" spans="1:12">
      <c r="A31" s="3"/>
      <c r="B31" s="3">
        <v>28</v>
      </c>
      <c r="C31" s="4" t="s">
        <v>582</v>
      </c>
      <c r="D31" s="12">
        <v>16118036</v>
      </c>
      <c r="E31" s="4"/>
      <c r="F31" s="65">
        <v>15392</v>
      </c>
      <c r="G31" s="4" t="s">
        <v>223</v>
      </c>
      <c r="H31" s="10"/>
      <c r="I31" s="3" t="s">
        <v>217</v>
      </c>
      <c r="J31" s="144" t="s">
        <v>700</v>
      </c>
      <c r="K31" s="3" t="s">
        <v>653</v>
      </c>
      <c r="L31" s="4"/>
    </row>
    <row r="32" spans="1:12">
      <c r="A32" s="3"/>
      <c r="B32" s="3">
        <v>29</v>
      </c>
      <c r="C32" s="4"/>
      <c r="D32" s="12">
        <v>16118037</v>
      </c>
      <c r="E32" s="4"/>
      <c r="F32" s="65"/>
      <c r="G32" s="4"/>
      <c r="H32" s="10"/>
      <c r="I32" s="3"/>
      <c r="J32" s="3"/>
      <c r="K32" s="3"/>
      <c r="L32" s="4"/>
    </row>
    <row r="33" spans="1:12">
      <c r="A33" s="3"/>
      <c r="B33" s="3">
        <v>30</v>
      </c>
      <c r="C33" s="4"/>
      <c r="D33" s="12">
        <v>16118038</v>
      </c>
      <c r="E33" s="4"/>
      <c r="F33" s="65"/>
      <c r="G33" s="4"/>
      <c r="H33" s="10"/>
      <c r="I33" s="3"/>
      <c r="J33" s="3"/>
      <c r="K33" s="3"/>
      <c r="L33" s="4"/>
    </row>
    <row r="34" spans="1:12">
      <c r="A34" s="3"/>
      <c r="B34" s="3">
        <v>31</v>
      </c>
      <c r="C34" s="4"/>
      <c r="D34" s="12">
        <v>16118039</v>
      </c>
      <c r="E34" s="4"/>
      <c r="F34" s="65"/>
      <c r="G34" s="4"/>
      <c r="H34" s="10"/>
      <c r="I34" s="3"/>
      <c r="J34" s="3"/>
      <c r="K34" s="3"/>
      <c r="L34" s="4"/>
    </row>
    <row r="35" spans="1:12">
      <c r="A35" s="3"/>
      <c r="B35" s="3">
        <v>32</v>
      </c>
      <c r="C35" s="4"/>
      <c r="D35" s="12">
        <v>16118040</v>
      </c>
      <c r="E35" s="4"/>
      <c r="F35" s="65"/>
      <c r="G35" s="4"/>
      <c r="H35" s="10"/>
      <c r="I35" s="3"/>
      <c r="J35" s="3"/>
      <c r="K35" s="3"/>
      <c r="L35" s="4"/>
    </row>
    <row r="36" spans="1:12">
      <c r="A36" s="3"/>
      <c r="B36" s="3">
        <v>33</v>
      </c>
      <c r="C36" s="4"/>
      <c r="D36" s="12">
        <v>16118041</v>
      </c>
      <c r="E36" s="4"/>
      <c r="F36" s="65"/>
      <c r="G36" s="4"/>
      <c r="H36" s="10"/>
      <c r="I36" s="3"/>
      <c r="J36" s="3"/>
      <c r="K36" s="3"/>
      <c r="L36" s="4"/>
    </row>
    <row r="37" spans="1:12">
      <c r="A37" s="3"/>
      <c r="B37" s="3">
        <v>34</v>
      </c>
      <c r="C37" s="4"/>
      <c r="D37" s="12">
        <v>16118042</v>
      </c>
      <c r="E37" s="4"/>
      <c r="F37" s="65"/>
      <c r="G37" s="4"/>
      <c r="H37" s="10"/>
      <c r="I37" s="3"/>
      <c r="J37" s="3"/>
      <c r="K37" s="3"/>
      <c r="L37" s="4"/>
    </row>
    <row r="38" spans="1:12">
      <c r="A38" s="3"/>
      <c r="B38" s="3">
        <v>35</v>
      </c>
      <c r="C38" s="4"/>
      <c r="D38" s="12">
        <v>16118043</v>
      </c>
      <c r="E38" s="4"/>
      <c r="F38" s="65"/>
      <c r="G38" s="4"/>
      <c r="H38" s="10"/>
      <c r="I38" s="3"/>
      <c r="J38" s="3"/>
      <c r="K38" s="3"/>
      <c r="L38" s="4"/>
    </row>
    <row r="39" spans="1:12">
      <c r="A39" s="3"/>
      <c r="B39" s="3">
        <v>36</v>
      </c>
      <c r="C39" s="4"/>
      <c r="D39" s="12">
        <v>16118044</v>
      </c>
      <c r="E39" s="4"/>
      <c r="F39" s="65"/>
      <c r="G39" s="4"/>
      <c r="H39" s="10"/>
      <c r="I39" s="3"/>
      <c r="J39" s="3"/>
      <c r="K39" s="3"/>
      <c r="L39" s="4"/>
    </row>
    <row r="40" spans="1:12">
      <c r="A40" s="3"/>
      <c r="B40" s="3">
        <v>37</v>
      </c>
      <c r="C40" s="4"/>
      <c r="D40" s="12">
        <v>16118045</v>
      </c>
      <c r="E40" s="4"/>
      <c r="F40" s="65"/>
      <c r="G40" s="4"/>
      <c r="H40" s="10"/>
      <c r="I40" s="3"/>
      <c r="J40" s="3"/>
      <c r="K40" s="3"/>
      <c r="L40" s="4"/>
    </row>
    <row r="41" spans="1:12">
      <c r="A41" s="3"/>
      <c r="B41" s="3">
        <v>38</v>
      </c>
      <c r="C41" s="4"/>
      <c r="D41" s="12">
        <v>16118046</v>
      </c>
      <c r="E41" s="4"/>
      <c r="F41" s="65"/>
      <c r="G41" s="4"/>
      <c r="H41" s="10"/>
      <c r="I41" s="3"/>
      <c r="J41" s="3"/>
      <c r="K41" s="3"/>
      <c r="L41" s="4"/>
    </row>
    <row r="42" spans="1:12">
      <c r="A42" s="3"/>
      <c r="B42" s="3">
        <v>39</v>
      </c>
      <c r="C42" s="4"/>
      <c r="D42" s="12">
        <v>16118047</v>
      </c>
      <c r="E42" s="4"/>
      <c r="F42" s="65"/>
      <c r="G42" s="4"/>
      <c r="H42" s="10"/>
      <c r="I42" s="3"/>
      <c r="J42" s="3"/>
      <c r="K42" s="3"/>
      <c r="L42" s="4"/>
    </row>
    <row r="43" spans="1:12">
      <c r="A43" s="3"/>
      <c r="B43" s="3">
        <v>40</v>
      </c>
      <c r="C43" s="4"/>
      <c r="D43" s="12">
        <v>16118048</v>
      </c>
      <c r="E43" s="4"/>
      <c r="F43" s="65"/>
      <c r="G43" s="4"/>
      <c r="H43" s="10"/>
      <c r="I43" s="3"/>
      <c r="J43" s="3"/>
      <c r="K43" s="3"/>
      <c r="L43" s="4"/>
    </row>
    <row r="44" spans="1:12">
      <c r="A44" s="3"/>
      <c r="B44" s="3">
        <v>41</v>
      </c>
      <c r="C44" s="4"/>
      <c r="D44" s="12">
        <v>16118049</v>
      </c>
      <c r="E44" s="4"/>
      <c r="F44" s="65"/>
      <c r="G44" s="4"/>
      <c r="H44" s="10"/>
      <c r="I44" s="3"/>
      <c r="J44" s="3"/>
      <c r="K44" s="3"/>
      <c r="L44" s="4"/>
    </row>
    <row r="45" spans="1:12">
      <c r="A45" s="3"/>
      <c r="B45" s="3">
        <v>42</v>
      </c>
      <c r="C45" s="4"/>
      <c r="D45" s="12">
        <v>16118050</v>
      </c>
      <c r="E45" s="4"/>
      <c r="F45" s="65"/>
      <c r="G45" s="4"/>
      <c r="H45" s="10"/>
      <c r="I45" s="3"/>
      <c r="J45" s="3"/>
      <c r="K45" s="3"/>
      <c r="L45" s="4"/>
    </row>
    <row r="46" spans="1:12">
      <c r="A46" s="3"/>
      <c r="B46" s="3">
        <v>43</v>
      </c>
      <c r="C46" s="4"/>
      <c r="D46" s="12">
        <v>16118051</v>
      </c>
      <c r="E46" s="4"/>
      <c r="F46" s="65"/>
      <c r="G46" s="4"/>
      <c r="H46" s="10"/>
      <c r="I46" s="3"/>
      <c r="J46" s="3"/>
      <c r="K46" s="3"/>
      <c r="L46" s="4"/>
    </row>
    <row r="47" spans="1:12">
      <c r="A47" s="3"/>
      <c r="B47" s="3">
        <v>44</v>
      </c>
      <c r="C47" s="4"/>
      <c r="D47" s="12">
        <v>16118052</v>
      </c>
      <c r="E47" s="4"/>
      <c r="F47" s="65"/>
      <c r="G47" s="4"/>
      <c r="H47" s="10"/>
      <c r="I47" s="3"/>
      <c r="J47" s="3"/>
      <c r="K47" s="3"/>
      <c r="L47" s="4"/>
    </row>
    <row r="48" spans="1:12">
      <c r="A48" s="3"/>
      <c r="B48" s="3">
        <v>45</v>
      </c>
      <c r="C48" s="4"/>
      <c r="D48" s="12">
        <v>16118053</v>
      </c>
      <c r="E48" s="4"/>
      <c r="F48" s="65"/>
      <c r="G48" s="4"/>
      <c r="H48" s="10"/>
      <c r="I48" s="3"/>
      <c r="J48" s="3"/>
      <c r="K48" s="3"/>
      <c r="L48" s="4"/>
    </row>
    <row r="49" spans="1:12">
      <c r="A49" s="3"/>
      <c r="B49" s="3">
        <v>46</v>
      </c>
      <c r="C49" s="4"/>
      <c r="D49" s="12">
        <v>16118054</v>
      </c>
      <c r="E49" s="4"/>
      <c r="F49" s="65"/>
      <c r="G49" s="4"/>
      <c r="H49" s="10"/>
      <c r="I49" s="3"/>
      <c r="J49" s="3"/>
      <c r="K49" s="3"/>
      <c r="L49" s="4"/>
    </row>
    <row r="50" spans="1:12">
      <c r="A50" s="3"/>
      <c r="B50" s="3">
        <v>47</v>
      </c>
      <c r="C50" s="4"/>
      <c r="D50" s="12">
        <v>16118055</v>
      </c>
      <c r="E50" s="4"/>
      <c r="F50" s="65"/>
      <c r="G50" s="4"/>
      <c r="H50" s="10"/>
      <c r="I50" s="3"/>
      <c r="J50" s="3"/>
      <c r="K50" s="3"/>
      <c r="L50" s="4"/>
    </row>
    <row r="51" spans="1:12">
      <c r="A51" s="3"/>
      <c r="B51" s="3">
        <v>48</v>
      </c>
      <c r="C51" s="4"/>
      <c r="D51" s="12">
        <v>16118056</v>
      </c>
      <c r="E51" s="4"/>
      <c r="F51" s="65"/>
      <c r="G51" s="4"/>
      <c r="H51" s="10"/>
      <c r="I51" s="3"/>
      <c r="J51" s="3"/>
      <c r="K51" s="3"/>
      <c r="L51" s="4"/>
    </row>
    <row r="52" spans="1:12">
      <c r="A52" s="3"/>
      <c r="B52" s="3">
        <v>49</v>
      </c>
      <c r="C52" s="4"/>
      <c r="D52" s="12">
        <v>16118057</v>
      </c>
      <c r="E52" s="4"/>
      <c r="F52" s="65"/>
      <c r="G52" s="4"/>
      <c r="H52" s="10"/>
      <c r="I52" s="3"/>
      <c r="J52" s="3"/>
      <c r="K52" s="3"/>
      <c r="L52" s="4"/>
    </row>
    <row r="53" spans="1:12">
      <c r="A53" s="3"/>
      <c r="B53" s="3">
        <v>50</v>
      </c>
      <c r="C53" s="4"/>
      <c r="D53" s="12">
        <v>16118058</v>
      </c>
      <c r="E53" s="4"/>
      <c r="F53" s="65"/>
      <c r="G53" s="4"/>
      <c r="H53" s="10"/>
      <c r="I53" s="3"/>
      <c r="J53" s="3"/>
      <c r="K53" s="3"/>
      <c r="L53" s="4"/>
    </row>
    <row r="54" spans="1:12">
      <c r="A54" s="3"/>
      <c r="B54" s="3">
        <v>51</v>
      </c>
      <c r="C54" s="4"/>
      <c r="D54" s="12">
        <v>16118059</v>
      </c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12">
        <v>16118060</v>
      </c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12">
        <v>16118061</v>
      </c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12">
        <v>16118062</v>
      </c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12">
        <v>16118063</v>
      </c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12">
        <v>16118064</v>
      </c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12">
        <v>16118065</v>
      </c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12">
        <v>16118066</v>
      </c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12">
        <v>16118067</v>
      </c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12">
        <v>16118068</v>
      </c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12">
        <v>16118069</v>
      </c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12">
        <v>16118070</v>
      </c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12">
        <v>16118071</v>
      </c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12">
        <v>16118072</v>
      </c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12">
        <v>16118073</v>
      </c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12">
        <v>16118074</v>
      </c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12">
        <v>16118075</v>
      </c>
      <c r="E70" s="4"/>
      <c r="F70" s="65"/>
      <c r="G70" s="4"/>
      <c r="H70" s="10"/>
      <c r="I70" s="3"/>
      <c r="J70" s="3"/>
      <c r="K70" s="3"/>
      <c r="L70" s="4"/>
    </row>
    <row r="71" spans="1:12">
      <c r="A71" s="3"/>
      <c r="B71" s="3">
        <v>68</v>
      </c>
      <c r="C71" s="4"/>
      <c r="D71" s="12">
        <v>16118076</v>
      </c>
      <c r="E71" s="4"/>
      <c r="F71" s="65"/>
      <c r="G71" s="4"/>
      <c r="H71" s="10"/>
      <c r="I71" s="3"/>
      <c r="J71" s="3"/>
      <c r="K71" s="3"/>
      <c r="L71" s="4"/>
    </row>
    <row r="72" spans="1:12">
      <c r="A72" s="3"/>
      <c r="B72" s="3">
        <v>69</v>
      </c>
      <c r="C72" s="4"/>
      <c r="D72" s="12">
        <v>16118077</v>
      </c>
      <c r="E72" s="4"/>
      <c r="F72" s="65"/>
      <c r="G72" s="4"/>
      <c r="H72" s="10"/>
      <c r="I72" s="3"/>
      <c r="J72" s="3"/>
      <c r="K72" s="3"/>
      <c r="L72" s="4"/>
    </row>
    <row r="73" spans="1:12">
      <c r="A73" s="3"/>
      <c r="B73" s="3">
        <v>70</v>
      </c>
      <c r="C73" s="4"/>
      <c r="D73" s="12">
        <v>16118078</v>
      </c>
      <c r="E73" s="4"/>
      <c r="F73" s="65"/>
      <c r="G73" s="4"/>
      <c r="H73" s="10"/>
      <c r="I73" s="3"/>
      <c r="J73" s="3"/>
      <c r="K73" s="3"/>
      <c r="L73" s="4"/>
    </row>
    <row r="74" spans="1:12">
      <c r="A74" s="3"/>
      <c r="B74" s="3">
        <v>71</v>
      </c>
      <c r="C74" s="4"/>
      <c r="D74" s="12">
        <v>16118079</v>
      </c>
      <c r="E74" s="4"/>
      <c r="F74" s="65"/>
      <c r="G74" s="4"/>
      <c r="H74" s="10"/>
      <c r="I74" s="3"/>
      <c r="J74" s="3"/>
      <c r="K74" s="3"/>
      <c r="L74" s="4"/>
    </row>
    <row r="75" spans="1:12">
      <c r="A75" s="3"/>
      <c r="B75" s="3">
        <v>72</v>
      </c>
      <c r="C75" s="4"/>
      <c r="D75" s="12">
        <v>16118080</v>
      </c>
      <c r="E75" s="4"/>
      <c r="F75" s="65"/>
      <c r="G75" s="4"/>
      <c r="H75" s="10"/>
      <c r="I75" s="3"/>
      <c r="J75" s="3"/>
      <c r="K75" s="3"/>
      <c r="L75" s="4"/>
    </row>
    <row r="76" spans="1:12">
      <c r="A76" s="3"/>
      <c r="B76" s="3">
        <v>73</v>
      </c>
      <c r="C76" s="4"/>
      <c r="D76" s="12">
        <v>16118081</v>
      </c>
      <c r="E76" s="4"/>
      <c r="F76" s="65"/>
      <c r="G76" s="4"/>
      <c r="H76" s="10"/>
      <c r="I76" s="3"/>
      <c r="J76" s="3"/>
      <c r="K76" s="3"/>
      <c r="L76" s="4"/>
    </row>
    <row r="77" spans="1:12">
      <c r="A77" s="3"/>
      <c r="B77" s="3">
        <v>74</v>
      </c>
      <c r="C77" s="4"/>
      <c r="D77" s="12">
        <v>16118082</v>
      </c>
      <c r="E77" s="4"/>
      <c r="F77" s="65"/>
      <c r="G77" s="4"/>
      <c r="H77" s="10"/>
      <c r="I77" s="3"/>
      <c r="J77" s="3"/>
      <c r="K77" s="3"/>
      <c r="L77" s="4"/>
    </row>
    <row r="78" spans="1:12">
      <c r="A78" s="3"/>
      <c r="B78" s="3">
        <v>75</v>
      </c>
      <c r="C78" s="4"/>
      <c r="D78" s="12">
        <v>16118083</v>
      </c>
      <c r="E78" s="4"/>
      <c r="F78" s="65"/>
      <c r="G78" s="4"/>
      <c r="H78" s="10"/>
      <c r="I78" s="3"/>
      <c r="J78" s="3"/>
      <c r="K78" s="3"/>
      <c r="L78" s="4"/>
    </row>
    <row r="79" spans="1:12">
      <c r="A79" s="3"/>
      <c r="B79" s="3">
        <v>76</v>
      </c>
      <c r="C79" s="4"/>
      <c r="D79" s="12">
        <v>16118084</v>
      </c>
      <c r="E79" s="4"/>
      <c r="F79" s="65"/>
      <c r="G79" s="4"/>
      <c r="H79" s="10"/>
      <c r="I79" s="3"/>
      <c r="J79" s="3"/>
      <c r="K79" s="3"/>
      <c r="L79" s="4"/>
    </row>
    <row r="80" spans="1:12">
      <c r="A80" s="3"/>
      <c r="B80" s="3">
        <v>77</v>
      </c>
      <c r="C80" s="4"/>
      <c r="D80" s="12">
        <v>16118085</v>
      </c>
      <c r="E80" s="4"/>
      <c r="F80" s="65"/>
      <c r="G80" s="4"/>
      <c r="H80" s="10"/>
      <c r="I80" s="3"/>
      <c r="J80" s="3"/>
      <c r="K80" s="3"/>
      <c r="L80" s="4"/>
    </row>
    <row r="81" spans="1:12">
      <c r="A81" s="3"/>
      <c r="B81" s="3">
        <v>78</v>
      </c>
      <c r="C81" s="4"/>
      <c r="D81" s="12">
        <v>16118086</v>
      </c>
      <c r="E81" s="4"/>
      <c r="F81" s="65"/>
      <c r="G81" s="4"/>
      <c r="H81" s="10"/>
      <c r="I81" s="3"/>
      <c r="J81" s="3"/>
      <c r="K81" s="3"/>
      <c r="L81" s="4"/>
    </row>
    <row r="82" spans="1:12">
      <c r="A82" s="3"/>
      <c r="B82" s="3">
        <v>79</v>
      </c>
      <c r="C82" s="4"/>
      <c r="D82" s="12">
        <v>16118087</v>
      </c>
      <c r="E82" s="4"/>
      <c r="F82" s="65"/>
      <c r="G82" s="4"/>
      <c r="H82" s="10"/>
      <c r="I82" s="3"/>
      <c r="J82" s="3"/>
      <c r="K82" s="3"/>
      <c r="L82" s="4"/>
    </row>
    <row r="83" spans="1:12">
      <c r="A83" s="3"/>
      <c r="B83" s="3">
        <v>80</v>
      </c>
      <c r="C83" s="4"/>
      <c r="D83" s="12">
        <v>16118088</v>
      </c>
      <c r="E83" s="4"/>
      <c r="F83" s="65"/>
      <c r="G83" s="4"/>
      <c r="H83" s="10"/>
      <c r="I83" s="3"/>
      <c r="J83" s="3"/>
      <c r="K83" s="3"/>
      <c r="L83" s="4"/>
    </row>
    <row r="84" spans="1:12">
      <c r="A84" s="3"/>
      <c r="B84" s="3">
        <v>81</v>
      </c>
      <c r="C84" s="4"/>
      <c r="D84" s="12">
        <v>16118089</v>
      </c>
      <c r="E84" s="4"/>
      <c r="F84" s="65"/>
      <c r="G84" s="4"/>
      <c r="H84" s="10"/>
      <c r="I84" s="3"/>
      <c r="J84" s="3"/>
      <c r="K84" s="3"/>
      <c r="L84" s="4"/>
    </row>
    <row r="85" spans="1:12">
      <c r="A85" s="3"/>
      <c r="B85" s="3">
        <v>82</v>
      </c>
      <c r="C85" s="4"/>
      <c r="D85" s="12">
        <v>16118090</v>
      </c>
      <c r="E85" s="4"/>
      <c r="F85" s="65"/>
      <c r="G85" s="4"/>
      <c r="H85" s="10"/>
      <c r="I85" s="3"/>
      <c r="J85" s="3"/>
      <c r="K85" s="3"/>
      <c r="L85" s="4"/>
    </row>
    <row r="86" spans="1:12">
      <c r="A86" s="3"/>
      <c r="B86" s="3">
        <v>83</v>
      </c>
      <c r="C86" s="4"/>
      <c r="D86" s="12">
        <v>16118091</v>
      </c>
      <c r="E86" s="4"/>
      <c r="F86" s="65"/>
      <c r="G86" s="4"/>
      <c r="H86" s="10"/>
      <c r="I86" s="3"/>
      <c r="J86" s="3"/>
      <c r="K86" s="3"/>
      <c r="L86" s="4"/>
    </row>
    <row r="87" spans="1:12">
      <c r="A87" s="3"/>
      <c r="B87" s="3">
        <v>84</v>
      </c>
      <c r="C87" s="4"/>
      <c r="D87" s="12">
        <v>16118092</v>
      </c>
      <c r="E87" s="4"/>
      <c r="F87" s="65"/>
      <c r="G87" s="4"/>
      <c r="H87" s="10"/>
      <c r="I87" s="3"/>
      <c r="J87" s="3"/>
      <c r="K87" s="3"/>
      <c r="L87" s="4"/>
    </row>
    <row r="88" spans="1:12">
      <c r="A88" s="3"/>
      <c r="B88" s="3">
        <v>85</v>
      </c>
      <c r="C88" s="4"/>
      <c r="D88" s="12">
        <v>16118093</v>
      </c>
      <c r="E88" s="4"/>
      <c r="F88" s="65"/>
      <c r="G88" s="4"/>
      <c r="H88" s="10"/>
      <c r="I88" s="3"/>
      <c r="J88" s="3"/>
      <c r="K88" s="3"/>
      <c r="L88" s="4"/>
    </row>
    <row r="89" spans="1:12">
      <c r="A89" s="3"/>
      <c r="B89" s="3">
        <v>86</v>
      </c>
      <c r="C89" s="4"/>
      <c r="D89" s="12">
        <v>16118094</v>
      </c>
      <c r="E89" s="4"/>
      <c r="F89" s="65"/>
      <c r="G89" s="4"/>
      <c r="H89" s="10"/>
      <c r="I89" s="3"/>
      <c r="J89" s="3"/>
      <c r="K89" s="3"/>
      <c r="L89" s="4"/>
    </row>
    <row r="90" spans="1:12">
      <c r="A90" s="3"/>
      <c r="B90" s="3">
        <v>87</v>
      </c>
      <c r="C90" s="4"/>
      <c r="D90" s="12">
        <v>16118095</v>
      </c>
      <c r="E90" s="4"/>
      <c r="F90" s="65"/>
      <c r="G90" s="4"/>
      <c r="H90" s="10"/>
      <c r="I90" s="3"/>
      <c r="J90" s="3"/>
      <c r="K90" s="3"/>
      <c r="L90" s="4"/>
    </row>
    <row r="91" spans="1:12">
      <c r="A91" s="3"/>
      <c r="B91" s="3">
        <v>88</v>
      </c>
      <c r="C91" s="4"/>
      <c r="D91" s="12">
        <v>16118096</v>
      </c>
      <c r="E91" s="4"/>
      <c r="F91" s="65"/>
      <c r="G91" s="4"/>
      <c r="H91" s="10"/>
      <c r="I91" s="3"/>
      <c r="J91" s="3"/>
      <c r="K91" s="3"/>
      <c r="L91" s="4"/>
    </row>
    <row r="92" spans="1:12">
      <c r="A92" s="3"/>
      <c r="B92" s="3">
        <v>89</v>
      </c>
      <c r="C92" s="4"/>
      <c r="D92" s="12">
        <v>16118097</v>
      </c>
      <c r="E92" s="4"/>
      <c r="F92" s="65"/>
      <c r="G92" s="4"/>
      <c r="H92" s="10"/>
      <c r="I92" s="3"/>
      <c r="J92" s="3"/>
      <c r="K92" s="3"/>
      <c r="L92" s="4"/>
    </row>
    <row r="93" spans="1:12">
      <c r="A93" s="3"/>
      <c r="B93" s="3">
        <v>90</v>
      </c>
      <c r="C93" s="4"/>
      <c r="D93" s="12">
        <v>16118098</v>
      </c>
      <c r="E93" s="4"/>
      <c r="F93" s="65"/>
      <c r="G93" s="4"/>
      <c r="H93" s="10"/>
      <c r="I93" s="3"/>
      <c r="J93" s="3"/>
      <c r="K93" s="3"/>
      <c r="L93" s="4"/>
    </row>
    <row r="94" spans="1:12">
      <c r="A94" s="3"/>
      <c r="B94" s="3">
        <v>91</v>
      </c>
      <c r="C94" s="4"/>
      <c r="D94" s="12">
        <v>16118099</v>
      </c>
      <c r="E94" s="4"/>
      <c r="F94" s="65"/>
      <c r="G94" s="4"/>
      <c r="H94" s="10"/>
      <c r="I94" s="3"/>
      <c r="J94" s="3"/>
      <c r="K94" s="3"/>
      <c r="L94" s="4"/>
    </row>
    <row r="95" spans="1:12">
      <c r="A95" s="3"/>
      <c r="B95" s="3">
        <v>92</v>
      </c>
      <c r="C95" s="4"/>
      <c r="D95" s="12">
        <v>16118100</v>
      </c>
      <c r="E95" s="4"/>
      <c r="F95" s="65"/>
      <c r="G95" s="4"/>
      <c r="H95" s="10"/>
      <c r="I95" s="3"/>
      <c r="J95" s="3"/>
      <c r="K95" s="3"/>
      <c r="L95" s="4"/>
    </row>
    <row r="96" spans="1:12">
      <c r="A96" s="3"/>
      <c r="B96" s="3">
        <v>93</v>
      </c>
      <c r="C96" s="4"/>
      <c r="D96" s="12">
        <v>16118101</v>
      </c>
      <c r="E96" s="4"/>
      <c r="F96" s="65"/>
      <c r="G96" s="4"/>
      <c r="H96" s="10"/>
      <c r="I96" s="3"/>
      <c r="J96" s="3"/>
      <c r="K96" s="3"/>
      <c r="L96" s="4"/>
    </row>
    <row r="97" spans="1:12">
      <c r="A97" s="3"/>
      <c r="B97" s="3">
        <v>94</v>
      </c>
      <c r="C97" s="4"/>
      <c r="D97" s="12">
        <v>16118102</v>
      </c>
      <c r="E97" s="4"/>
      <c r="F97" s="65"/>
      <c r="G97" s="4"/>
      <c r="H97" s="10"/>
      <c r="I97" s="3"/>
      <c r="J97" s="3"/>
      <c r="K97" s="3"/>
      <c r="L97" s="4"/>
    </row>
    <row r="98" spans="1:12">
      <c r="A98" s="3"/>
      <c r="B98" s="3">
        <v>95</v>
      </c>
      <c r="C98" s="4"/>
      <c r="D98" s="12">
        <v>16118103</v>
      </c>
      <c r="E98" s="4"/>
      <c r="F98" s="65"/>
      <c r="G98" s="4"/>
      <c r="H98" s="10"/>
      <c r="I98" s="3"/>
      <c r="J98" s="3"/>
      <c r="K98" s="3"/>
      <c r="L98" s="4"/>
    </row>
    <row r="99" spans="1:12">
      <c r="A99" s="3"/>
      <c r="B99" s="3">
        <v>96</v>
      </c>
      <c r="C99" s="4"/>
      <c r="D99" s="12">
        <v>16118104</v>
      </c>
      <c r="E99" s="4"/>
      <c r="F99" s="65"/>
      <c r="G99" s="4"/>
      <c r="H99" s="10"/>
      <c r="I99" s="3"/>
      <c r="J99" s="3"/>
      <c r="K99" s="3"/>
      <c r="L99" s="4"/>
    </row>
    <row r="100" spans="1:12">
      <c r="A100" s="3"/>
      <c r="B100" s="3">
        <v>97</v>
      </c>
      <c r="C100" s="4"/>
      <c r="D100" s="12">
        <v>16118105</v>
      </c>
      <c r="E100" s="4"/>
      <c r="F100" s="65"/>
      <c r="G100" s="4"/>
      <c r="H100" s="10"/>
      <c r="I100" s="3"/>
      <c r="J100" s="3"/>
      <c r="K100" s="3"/>
      <c r="L100" s="4"/>
    </row>
    <row r="101" spans="1:12">
      <c r="A101" s="3"/>
      <c r="B101" s="3">
        <v>98</v>
      </c>
      <c r="C101" s="4"/>
      <c r="D101" s="12">
        <v>16118106</v>
      </c>
      <c r="E101" s="4"/>
      <c r="F101" s="65"/>
      <c r="G101" s="4"/>
      <c r="H101" s="10"/>
      <c r="I101" s="3"/>
      <c r="J101" s="3"/>
      <c r="K101" s="3"/>
      <c r="L101" s="4"/>
    </row>
    <row r="102" spans="1:12">
      <c r="A102" s="3"/>
      <c r="B102" s="3">
        <v>99</v>
      </c>
      <c r="C102" s="4"/>
      <c r="D102" s="12">
        <v>16118107</v>
      </c>
      <c r="E102" s="4"/>
      <c r="F102" s="65"/>
      <c r="G102" s="4"/>
      <c r="H102" s="10"/>
      <c r="I102" s="3"/>
      <c r="J102" s="3"/>
      <c r="K102" s="3"/>
      <c r="L102" s="4"/>
    </row>
    <row r="103" spans="1:12">
      <c r="A103" s="3"/>
      <c r="B103" s="3">
        <v>100</v>
      </c>
      <c r="C103" s="4"/>
      <c r="D103" s="12">
        <v>16118108</v>
      </c>
      <c r="E103" s="4"/>
      <c r="F103" s="65"/>
      <c r="G103" s="4"/>
      <c r="H103" s="10"/>
      <c r="I103" s="3"/>
      <c r="J103" s="3"/>
      <c r="K103" s="3"/>
      <c r="L103" s="4"/>
    </row>
    <row r="104" spans="1:12">
      <c r="A104" s="3"/>
      <c r="B104" s="3">
        <v>101</v>
      </c>
      <c r="C104" s="4"/>
      <c r="D104" s="12">
        <v>16118109</v>
      </c>
      <c r="E104" s="4"/>
      <c r="F104" s="65"/>
      <c r="G104" s="4"/>
      <c r="H104" s="10"/>
      <c r="I104" s="3"/>
      <c r="J104" s="3"/>
      <c r="K104" s="3"/>
      <c r="L104" s="4"/>
    </row>
    <row r="105" spans="1:12">
      <c r="A105" s="3"/>
      <c r="B105" s="3">
        <v>102</v>
      </c>
      <c r="C105" s="4"/>
      <c r="D105" s="12">
        <v>16118110</v>
      </c>
      <c r="E105" s="4"/>
      <c r="F105" s="65"/>
      <c r="G105" s="4"/>
      <c r="H105" s="10"/>
      <c r="I105" s="3"/>
      <c r="J105" s="3"/>
      <c r="K105" s="3"/>
      <c r="L105" s="4"/>
    </row>
    <row r="106" spans="1:12">
      <c r="A106" s="3"/>
      <c r="B106" s="3">
        <v>103</v>
      </c>
      <c r="C106" s="4"/>
      <c r="D106" s="12">
        <v>16118111</v>
      </c>
      <c r="E106" s="4"/>
      <c r="F106" s="65"/>
      <c r="G106" s="4"/>
      <c r="H106" s="10"/>
      <c r="I106" s="3"/>
      <c r="J106" s="3"/>
      <c r="K106" s="3"/>
      <c r="L106" s="4"/>
    </row>
    <row r="107" spans="1:12">
      <c r="A107" s="3"/>
      <c r="B107" s="3">
        <v>104</v>
      </c>
      <c r="C107" s="4"/>
      <c r="D107" s="12">
        <v>16118112</v>
      </c>
      <c r="E107" s="4"/>
      <c r="F107" s="65"/>
      <c r="G107" s="4"/>
      <c r="H107" s="10"/>
      <c r="I107" s="3"/>
      <c r="J107" s="3"/>
      <c r="K107" s="3"/>
      <c r="L107" s="4"/>
    </row>
    <row r="108" spans="1:12">
      <c r="A108" s="3"/>
      <c r="B108" s="3">
        <v>105</v>
      </c>
      <c r="C108" s="4"/>
      <c r="D108" s="12">
        <v>16118113</v>
      </c>
      <c r="E108" s="4"/>
      <c r="F108" s="65"/>
      <c r="G108" s="4"/>
      <c r="H108" s="10"/>
      <c r="I108" s="3"/>
      <c r="J108" s="3"/>
      <c r="K108" s="3"/>
      <c r="L108" s="4"/>
    </row>
    <row r="109" spans="1:12">
      <c r="A109" s="3"/>
      <c r="B109" s="3">
        <v>106</v>
      </c>
      <c r="C109" s="4"/>
      <c r="D109" s="12">
        <v>16118114</v>
      </c>
      <c r="E109" s="4"/>
      <c r="F109" s="65"/>
      <c r="G109" s="4"/>
      <c r="H109" s="10"/>
      <c r="I109" s="3"/>
      <c r="J109" s="3"/>
      <c r="K109" s="3"/>
      <c r="L109" s="4"/>
    </row>
    <row r="110" spans="1:12">
      <c r="A110" s="3"/>
      <c r="B110" s="3">
        <v>107</v>
      </c>
      <c r="C110" s="4"/>
      <c r="D110" s="12">
        <v>16118115</v>
      </c>
      <c r="E110" s="4"/>
      <c r="F110" s="65"/>
      <c r="G110" s="4"/>
      <c r="H110" s="10"/>
      <c r="I110" s="3"/>
      <c r="J110" s="3"/>
      <c r="K110" s="3"/>
      <c r="L110" s="4"/>
    </row>
    <row r="111" spans="1:12">
      <c r="A111" s="3"/>
      <c r="B111" s="3">
        <v>108</v>
      </c>
      <c r="C111" s="4"/>
      <c r="D111" s="12">
        <v>16118116</v>
      </c>
      <c r="E111" s="4"/>
      <c r="F111" s="65"/>
      <c r="G111" s="4"/>
      <c r="H111" s="10"/>
      <c r="I111" s="3"/>
      <c r="J111" s="3"/>
      <c r="K111" s="3"/>
      <c r="L111" s="4"/>
    </row>
    <row r="112" spans="1:12">
      <c r="A112" s="3"/>
      <c r="B112" s="3">
        <v>109</v>
      </c>
      <c r="C112" s="4"/>
      <c r="D112" s="12">
        <v>16118117</v>
      </c>
      <c r="E112" s="4"/>
      <c r="F112" s="65"/>
      <c r="G112" s="4"/>
      <c r="H112" s="10"/>
      <c r="I112" s="3"/>
      <c r="J112" s="3"/>
      <c r="K112" s="3"/>
      <c r="L112" s="4"/>
    </row>
    <row r="113" spans="1:12">
      <c r="A113" s="3"/>
      <c r="B113" s="3">
        <v>110</v>
      </c>
      <c r="C113" s="4"/>
      <c r="D113" s="12">
        <v>16118118</v>
      </c>
      <c r="E113" s="4"/>
      <c r="F113" s="65"/>
      <c r="G113" s="4"/>
      <c r="H113" s="10"/>
      <c r="I113" s="3"/>
      <c r="J113" s="3"/>
      <c r="K113" s="3"/>
      <c r="L113" s="4"/>
    </row>
    <row r="114" spans="1:12">
      <c r="A114" s="3"/>
      <c r="B114" s="3">
        <v>111</v>
      </c>
      <c r="C114" s="4"/>
      <c r="D114" s="12">
        <v>16118119</v>
      </c>
      <c r="E114" s="4"/>
      <c r="F114" s="65"/>
      <c r="G114" s="4"/>
      <c r="H114" s="10"/>
      <c r="I114" s="3"/>
      <c r="J114" s="3"/>
      <c r="K114" s="3"/>
      <c r="L114" s="4"/>
    </row>
    <row r="115" spans="1:12">
      <c r="A115" s="3"/>
      <c r="B115" s="3">
        <v>112</v>
      </c>
      <c r="C115" s="4"/>
      <c r="D115" s="12">
        <v>16118120</v>
      </c>
      <c r="E115" s="4"/>
      <c r="F115" s="65"/>
      <c r="G115" s="4"/>
      <c r="H115" s="10"/>
      <c r="I115" s="3"/>
      <c r="J115" s="3"/>
      <c r="K115" s="3"/>
      <c r="L115" s="4"/>
    </row>
    <row r="116" spans="1:12">
      <c r="A116" s="3"/>
      <c r="B116" s="3">
        <v>113</v>
      </c>
      <c r="C116" s="4"/>
      <c r="D116" s="12">
        <v>16118121</v>
      </c>
      <c r="E116" s="4"/>
      <c r="F116" s="65"/>
      <c r="G116" s="4"/>
      <c r="H116" s="10"/>
      <c r="I116" s="3"/>
      <c r="J116" s="3"/>
      <c r="K116" s="3"/>
      <c r="L116" s="4"/>
    </row>
    <row r="117" spans="1:12">
      <c r="A117" s="3"/>
      <c r="B117" s="3">
        <v>114</v>
      </c>
      <c r="C117" s="4"/>
      <c r="D117" s="12">
        <v>16118122</v>
      </c>
      <c r="E117" s="4"/>
      <c r="F117" s="65"/>
      <c r="G117" s="4"/>
      <c r="H117" s="10"/>
      <c r="I117" s="3"/>
      <c r="J117" s="3"/>
      <c r="K117" s="3"/>
      <c r="L117" s="4"/>
    </row>
    <row r="118" spans="1:12">
      <c r="A118" s="3"/>
      <c r="B118" s="3">
        <v>115</v>
      </c>
      <c r="C118" s="4"/>
      <c r="D118" s="12">
        <v>16118123</v>
      </c>
      <c r="E118" s="4"/>
      <c r="F118" s="65"/>
      <c r="G118" s="4"/>
      <c r="H118" s="10"/>
      <c r="I118" s="3"/>
      <c r="J118" s="3"/>
      <c r="K118" s="3"/>
      <c r="L118" s="4"/>
    </row>
    <row r="119" spans="1:12">
      <c r="A119" s="3"/>
      <c r="B119" s="3">
        <v>116</v>
      </c>
      <c r="C119" s="4"/>
      <c r="D119" s="12">
        <v>16118124</v>
      </c>
      <c r="E119" s="4"/>
      <c r="F119" s="65"/>
      <c r="G119" s="4"/>
      <c r="H119" s="10"/>
      <c r="I119" s="3"/>
      <c r="J119" s="3"/>
      <c r="K119" s="3"/>
      <c r="L119" s="4"/>
    </row>
    <row r="120" spans="1:12">
      <c r="A120" s="3"/>
      <c r="B120" s="3">
        <v>117</v>
      </c>
      <c r="C120" s="4"/>
      <c r="D120" s="12">
        <v>16118125</v>
      </c>
      <c r="E120" s="4"/>
      <c r="F120" s="65"/>
      <c r="G120" s="4"/>
      <c r="H120" s="10"/>
      <c r="I120" s="3"/>
      <c r="J120" s="3"/>
      <c r="K120" s="3"/>
      <c r="L12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84" priority="1" operator="containsText" text="見積！">
      <formula>NOT(ISERROR(SEARCH("見積！",A1)))</formula>
    </cfRule>
  </conditionalFormatting>
  <conditionalFormatting sqref="A4:A1048576">
    <cfRule type="containsText" dxfId="83" priority="4" operator="containsText" text="着手">
      <formula>NOT(ISERROR(SEARCH("着手",A4)))</formula>
    </cfRule>
    <cfRule type="containsText" dxfId="82" priority="5" operator="containsText" text="見積完了">
      <formula>NOT(ISERROR(SEARCH("見積完了",A4)))</formula>
    </cfRule>
    <cfRule type="containsText" dxfId="81" priority="6" operator="containsText" text="中止">
      <formula>NOT(ISERROR(SEARCH("中止",A4)))</formula>
    </cfRule>
    <cfRule type="containsText" dxfId="80" priority="7" operator="containsText" text="保留">
      <formula>NOT(ISERROR(SEARCH("保留",A4)))</formula>
    </cfRule>
    <cfRule type="containsText" dxfId="79" priority="8" operator="containsText" text="進行中">
      <formula>NOT(ISERROR(SEARCH("進行中",A4)))</formula>
    </cfRule>
    <cfRule type="containsText" dxfId="78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G2:G1048576 I1:I1048576 K1:L1048576" xr:uid="{203F9978-5A94-49E2-8E4B-8216DA774822}"/>
    <dataValidation imeMode="off" allowBlank="1" showInputMessage="1" showErrorMessage="1" sqref="G1 B1:B1048576 D1:F1048576 J1:J1048576 H1:H1048576" xr:uid="{5DA6EE07-8862-4DB9-BEC0-51E3728093B0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38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381213-1157-4D39-85C9-84B18F604F00}">
          <x14:formula1>
            <xm:f>タスク!$B$3:$B$14</xm:f>
          </x14:formula1>
          <xm:sqref>A4:A1048576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57C0-C547-4C29-A1C3-489532BE1DD9}">
  <sheetPr codeName="Sheet15">
    <pageSetUpPr fitToPage="1"/>
  </sheetPr>
  <dimension ref="A1:M109"/>
  <sheetViews>
    <sheetView zoomScale="115" zoomScaleNormal="115" workbookViewId="0">
      <pane ySplit="3" topLeftCell="A10" activePane="bottomLeft" state="frozen"/>
      <selection activeCell="A11" sqref="A11"/>
      <selection pane="bottomLeft" activeCell="A21" sqref="A3:XFD21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225</v>
      </c>
      <c r="D4" s="57">
        <v>16112041</v>
      </c>
      <c r="E4" s="4" t="s">
        <v>226</v>
      </c>
      <c r="F4" s="65" t="s">
        <v>227</v>
      </c>
      <c r="G4" s="4" t="s">
        <v>228</v>
      </c>
      <c r="H4" s="10"/>
      <c r="I4" s="3" t="s">
        <v>33</v>
      </c>
      <c r="J4" s="1">
        <v>44916</v>
      </c>
      <c r="K4" s="3" t="s">
        <v>34</v>
      </c>
    </row>
    <row r="5" spans="1:13" hidden="1">
      <c r="A5" s="17" t="s">
        <v>28</v>
      </c>
      <c r="B5" s="3">
        <v>2</v>
      </c>
      <c r="C5" s="4" t="s">
        <v>229</v>
      </c>
      <c r="D5" s="57">
        <v>16112042</v>
      </c>
      <c r="E5" s="4" t="s">
        <v>230</v>
      </c>
      <c r="F5" s="65" t="s">
        <v>231</v>
      </c>
      <c r="G5" s="4" t="s">
        <v>232</v>
      </c>
      <c r="H5" s="10"/>
      <c r="I5" s="3" t="s">
        <v>33</v>
      </c>
      <c r="J5" s="1">
        <v>44916</v>
      </c>
      <c r="K5" s="3" t="s">
        <v>34</v>
      </c>
    </row>
    <row r="6" spans="1:13" hidden="1">
      <c r="A6" s="17" t="s">
        <v>28</v>
      </c>
      <c r="B6" s="3">
        <v>3</v>
      </c>
      <c r="C6" s="4" t="s">
        <v>229</v>
      </c>
      <c r="D6" s="57">
        <v>16112043</v>
      </c>
      <c r="E6" s="4" t="s">
        <v>233</v>
      </c>
      <c r="F6" s="65">
        <v>8501</v>
      </c>
      <c r="G6" s="4" t="s">
        <v>234</v>
      </c>
      <c r="H6" s="10"/>
      <c r="I6" s="3" t="s">
        <v>33</v>
      </c>
      <c r="J6" s="1">
        <v>44944</v>
      </c>
      <c r="K6" s="3" t="s">
        <v>34</v>
      </c>
    </row>
    <row r="7" spans="1:13" hidden="1">
      <c r="A7" s="17" t="s">
        <v>28</v>
      </c>
      <c r="B7" s="3">
        <v>4</v>
      </c>
      <c r="C7" s="4" t="s">
        <v>229</v>
      </c>
      <c r="D7" s="57">
        <v>16112044</v>
      </c>
      <c r="E7" s="4" t="s">
        <v>235</v>
      </c>
      <c r="F7" s="65">
        <v>8530</v>
      </c>
      <c r="G7" s="4" t="s">
        <v>228</v>
      </c>
      <c r="H7" s="10"/>
      <c r="I7" s="3" t="s">
        <v>74</v>
      </c>
      <c r="J7" s="1">
        <v>44950</v>
      </c>
      <c r="K7" s="3" t="s">
        <v>34</v>
      </c>
    </row>
    <row r="8" spans="1:13" hidden="1">
      <c r="A8" s="17" t="s">
        <v>28</v>
      </c>
      <c r="B8" s="3">
        <v>5</v>
      </c>
      <c r="C8" s="4" t="s">
        <v>229</v>
      </c>
      <c r="D8" s="57">
        <v>16112045</v>
      </c>
      <c r="E8" s="4" t="s">
        <v>236</v>
      </c>
      <c r="F8" s="65">
        <v>8531</v>
      </c>
      <c r="G8" s="4" t="s">
        <v>232</v>
      </c>
      <c r="H8" s="10"/>
      <c r="I8" s="3" t="s">
        <v>74</v>
      </c>
      <c r="J8" s="1">
        <v>44950</v>
      </c>
      <c r="K8" s="3" t="s">
        <v>34</v>
      </c>
    </row>
    <row r="9" spans="1:13" hidden="1">
      <c r="A9" s="17" t="s">
        <v>28</v>
      </c>
      <c r="B9" s="3">
        <v>6</v>
      </c>
      <c r="C9" s="4" t="s">
        <v>225</v>
      </c>
      <c r="D9" s="57">
        <v>16112046</v>
      </c>
      <c r="E9" s="4" t="s">
        <v>237</v>
      </c>
      <c r="F9" s="65">
        <v>8774</v>
      </c>
      <c r="G9" s="4" t="s">
        <v>232</v>
      </c>
      <c r="H9" s="10"/>
      <c r="I9" s="3" t="s">
        <v>79</v>
      </c>
      <c r="J9" s="1">
        <v>44977</v>
      </c>
      <c r="K9" s="3" t="s">
        <v>34</v>
      </c>
    </row>
    <row r="10" spans="1:13" hidden="1">
      <c r="A10" s="17" t="s">
        <v>28</v>
      </c>
      <c r="B10" s="3">
        <v>7</v>
      </c>
      <c r="C10" s="4" t="s">
        <v>225</v>
      </c>
      <c r="D10" s="57">
        <v>16112047</v>
      </c>
      <c r="E10" s="4" t="s">
        <v>238</v>
      </c>
      <c r="F10" s="65">
        <v>8788</v>
      </c>
      <c r="G10" s="4" t="s">
        <v>228</v>
      </c>
      <c r="H10" s="10"/>
      <c r="I10" s="3" t="s">
        <v>79</v>
      </c>
      <c r="J10" s="1">
        <v>44992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225</v>
      </c>
      <c r="D11" s="57">
        <v>16112048</v>
      </c>
      <c r="E11" s="4"/>
      <c r="F11" s="65">
        <v>9066</v>
      </c>
      <c r="G11" s="4" t="s">
        <v>232</v>
      </c>
      <c r="H11" s="10"/>
      <c r="I11" s="3" t="s">
        <v>80</v>
      </c>
      <c r="J11" s="1">
        <v>45016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225</v>
      </c>
      <c r="D12" s="57">
        <v>16112049</v>
      </c>
      <c r="E12" s="4"/>
      <c r="F12" s="65">
        <v>9358</v>
      </c>
      <c r="G12" s="4" t="s">
        <v>232</v>
      </c>
      <c r="H12" s="10"/>
      <c r="I12" s="3" t="s">
        <v>82</v>
      </c>
      <c r="J12" s="1">
        <v>45040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225</v>
      </c>
      <c r="D13" s="57">
        <v>16112050</v>
      </c>
      <c r="E13" s="4"/>
      <c r="F13" s="65">
        <v>9607</v>
      </c>
      <c r="G13" s="4" t="s">
        <v>232</v>
      </c>
      <c r="H13" s="10"/>
      <c r="I13" s="3" t="s">
        <v>42</v>
      </c>
      <c r="J13" s="1">
        <v>45071</v>
      </c>
      <c r="K13" s="3" t="s">
        <v>34</v>
      </c>
    </row>
    <row r="14" spans="1:13" hidden="1">
      <c r="A14" s="17" t="s">
        <v>28</v>
      </c>
      <c r="B14" s="3">
        <v>11</v>
      </c>
      <c r="C14" s="4" t="s">
        <v>225</v>
      </c>
      <c r="D14" s="57">
        <v>16112051</v>
      </c>
      <c r="E14" s="4"/>
      <c r="F14" s="65">
        <v>9904</v>
      </c>
      <c r="G14" s="4" t="s">
        <v>232</v>
      </c>
      <c r="H14" s="10"/>
      <c r="I14" s="3" t="s">
        <v>43</v>
      </c>
      <c r="J14" s="1">
        <v>45099</v>
      </c>
      <c r="K14" s="3" t="s">
        <v>34</v>
      </c>
    </row>
    <row r="15" spans="1:13" hidden="1">
      <c r="A15" s="17" t="s">
        <v>28</v>
      </c>
      <c r="B15" s="3">
        <v>12</v>
      </c>
      <c r="C15" s="4" t="s">
        <v>225</v>
      </c>
      <c r="D15" s="57">
        <v>16112052</v>
      </c>
      <c r="E15" s="4"/>
      <c r="F15" s="65">
        <v>10182</v>
      </c>
      <c r="G15" s="4" t="s">
        <v>232</v>
      </c>
      <c r="H15" s="10"/>
      <c r="I15" s="3" t="s">
        <v>84</v>
      </c>
      <c r="J15" s="1">
        <v>45126</v>
      </c>
      <c r="K15" s="3" t="s">
        <v>34</v>
      </c>
    </row>
    <row r="16" spans="1:13" hidden="1">
      <c r="A16" s="17" t="s">
        <v>28</v>
      </c>
      <c r="B16" s="3">
        <v>13</v>
      </c>
      <c r="C16" s="4" t="s">
        <v>225</v>
      </c>
      <c r="D16" s="57">
        <v>16112053</v>
      </c>
      <c r="E16" s="4"/>
      <c r="F16" s="65">
        <v>10462</v>
      </c>
      <c r="G16" s="4" t="s">
        <v>232</v>
      </c>
      <c r="H16" s="10"/>
      <c r="I16" s="3" t="s">
        <v>474</v>
      </c>
      <c r="J16" s="1">
        <v>45167</v>
      </c>
      <c r="K16" s="3" t="s">
        <v>34</v>
      </c>
    </row>
    <row r="17" spans="1:12" hidden="1">
      <c r="A17" s="17" t="s">
        <v>28</v>
      </c>
      <c r="B17" s="3">
        <v>14</v>
      </c>
      <c r="C17" s="4" t="s">
        <v>225</v>
      </c>
      <c r="D17" s="57">
        <v>16112054</v>
      </c>
      <c r="E17" s="4"/>
      <c r="F17" s="65">
        <v>10769</v>
      </c>
      <c r="G17" s="4" t="s">
        <v>232</v>
      </c>
      <c r="H17" s="10"/>
      <c r="I17" s="3" t="s">
        <v>478</v>
      </c>
      <c r="J17" s="1">
        <v>45196</v>
      </c>
      <c r="K17" s="3" t="s">
        <v>477</v>
      </c>
    </row>
    <row r="18" spans="1:12" hidden="1">
      <c r="A18" s="17" t="s">
        <v>28</v>
      </c>
      <c r="B18" s="3">
        <v>15</v>
      </c>
      <c r="C18" s="4" t="s">
        <v>225</v>
      </c>
      <c r="D18" s="57">
        <v>16112055</v>
      </c>
      <c r="E18" s="4"/>
      <c r="F18" s="65">
        <v>11061</v>
      </c>
      <c r="G18" s="4" t="s">
        <v>232</v>
      </c>
      <c r="H18" s="10"/>
      <c r="I18" s="3" t="s">
        <v>48</v>
      </c>
      <c r="J18" s="1">
        <v>45225</v>
      </c>
      <c r="K18" s="3" t="s">
        <v>477</v>
      </c>
    </row>
    <row r="19" spans="1:12" hidden="1">
      <c r="A19" s="17" t="s">
        <v>28</v>
      </c>
      <c r="B19" s="3">
        <v>16</v>
      </c>
      <c r="C19" s="4" t="s">
        <v>225</v>
      </c>
      <c r="D19" s="57">
        <v>16112056</v>
      </c>
      <c r="E19" s="4"/>
      <c r="F19" s="65">
        <v>11328</v>
      </c>
      <c r="G19" s="4" t="s">
        <v>232</v>
      </c>
      <c r="H19" s="10"/>
      <c r="I19" s="3" t="s">
        <v>49</v>
      </c>
      <c r="J19" s="1">
        <v>45254</v>
      </c>
      <c r="K19" s="3" t="s">
        <v>477</v>
      </c>
    </row>
    <row r="20" spans="1:12" hidden="1">
      <c r="A20" s="17"/>
      <c r="B20" s="3">
        <v>17</v>
      </c>
      <c r="C20" s="4" t="s">
        <v>225</v>
      </c>
      <c r="D20" s="57">
        <v>16112057</v>
      </c>
      <c r="E20" s="4"/>
      <c r="F20" s="65">
        <v>11605</v>
      </c>
      <c r="G20" s="4" t="s">
        <v>232</v>
      </c>
      <c r="H20" s="10"/>
      <c r="I20" s="3" t="s">
        <v>33</v>
      </c>
      <c r="J20" s="1">
        <v>45279</v>
      </c>
      <c r="K20" s="3" t="s">
        <v>477</v>
      </c>
      <c r="L20" s="4"/>
    </row>
    <row r="21" spans="1:12">
      <c r="A21" s="17"/>
      <c r="B21" s="3">
        <v>18</v>
      </c>
      <c r="C21" s="4" t="s">
        <v>225</v>
      </c>
      <c r="D21" s="57">
        <v>16112058</v>
      </c>
      <c r="E21" s="4"/>
      <c r="F21" s="65">
        <v>11904</v>
      </c>
      <c r="G21" s="4" t="s">
        <v>232</v>
      </c>
      <c r="H21" s="10"/>
      <c r="I21" s="3" t="s">
        <v>518</v>
      </c>
      <c r="J21" s="1">
        <v>45310</v>
      </c>
      <c r="K21" s="3" t="s">
        <v>477</v>
      </c>
      <c r="L21" s="4"/>
    </row>
    <row r="22" spans="1:12">
      <c r="A22" s="17"/>
      <c r="B22" s="3">
        <v>19</v>
      </c>
      <c r="C22" s="4" t="s">
        <v>225</v>
      </c>
      <c r="D22" s="57">
        <v>16112059</v>
      </c>
      <c r="E22" s="4"/>
      <c r="F22" s="65">
        <v>12154</v>
      </c>
      <c r="G22" s="4" t="s">
        <v>232</v>
      </c>
      <c r="H22" s="10"/>
      <c r="I22" s="3" t="s">
        <v>217</v>
      </c>
      <c r="J22" s="1">
        <v>45345</v>
      </c>
      <c r="K22" s="3" t="s">
        <v>477</v>
      </c>
      <c r="L22" s="4"/>
    </row>
    <row r="23" spans="1:12">
      <c r="A23" s="17"/>
      <c r="B23" s="3">
        <v>20</v>
      </c>
      <c r="C23" s="4" t="s">
        <v>225</v>
      </c>
      <c r="D23" s="57">
        <v>16112060</v>
      </c>
      <c r="E23" s="4"/>
      <c r="F23" s="65" t="s">
        <v>545</v>
      </c>
      <c r="G23" s="4" t="s">
        <v>232</v>
      </c>
      <c r="H23" s="10"/>
      <c r="I23" s="3" t="s">
        <v>531</v>
      </c>
      <c r="J23" s="1">
        <v>45377</v>
      </c>
      <c r="K23" s="3" t="s">
        <v>477</v>
      </c>
      <c r="L23" s="4"/>
    </row>
    <row r="24" spans="1:12">
      <c r="A24" s="17"/>
      <c r="B24" s="3">
        <v>21</v>
      </c>
      <c r="C24" s="4" t="s">
        <v>225</v>
      </c>
      <c r="D24" s="57">
        <v>16112061</v>
      </c>
      <c r="E24" s="4"/>
      <c r="F24" s="65" t="s">
        <v>598</v>
      </c>
      <c r="G24" s="4" t="s">
        <v>232</v>
      </c>
      <c r="H24" s="10"/>
      <c r="I24" s="3" t="s">
        <v>562</v>
      </c>
      <c r="J24" s="1">
        <v>45407</v>
      </c>
      <c r="K24" s="3" t="s">
        <v>477</v>
      </c>
      <c r="L24" s="4"/>
    </row>
    <row r="25" spans="1:12">
      <c r="A25" s="17"/>
      <c r="B25" s="3">
        <v>22</v>
      </c>
      <c r="C25" s="4" t="s">
        <v>225</v>
      </c>
      <c r="D25" s="57">
        <v>16112062</v>
      </c>
      <c r="E25" s="4"/>
      <c r="F25" s="65" t="s">
        <v>625</v>
      </c>
      <c r="G25" s="4" t="s">
        <v>232</v>
      </c>
      <c r="H25" s="10"/>
      <c r="I25" s="3" t="s">
        <v>156</v>
      </c>
      <c r="J25" s="1">
        <v>45435</v>
      </c>
      <c r="K25" s="3" t="s">
        <v>477</v>
      </c>
      <c r="L25" s="4"/>
    </row>
    <row r="26" spans="1:12">
      <c r="A26" s="17"/>
      <c r="B26" s="3">
        <v>23</v>
      </c>
      <c r="C26" s="4" t="s">
        <v>225</v>
      </c>
      <c r="D26" s="57">
        <v>16112063</v>
      </c>
      <c r="E26" s="4"/>
      <c r="F26" s="65" t="s">
        <v>628</v>
      </c>
      <c r="G26" s="4" t="s">
        <v>626</v>
      </c>
      <c r="H26" s="10"/>
      <c r="I26" s="3" t="s">
        <v>156</v>
      </c>
      <c r="J26" s="144" t="s">
        <v>627</v>
      </c>
      <c r="K26" s="3" t="s">
        <v>477</v>
      </c>
      <c r="L26" s="4"/>
    </row>
    <row r="27" spans="1:12">
      <c r="A27" s="17"/>
      <c r="B27" s="3">
        <v>24</v>
      </c>
      <c r="C27" s="4" t="s">
        <v>225</v>
      </c>
      <c r="D27" s="57">
        <v>16112064</v>
      </c>
      <c r="E27" s="4"/>
      <c r="F27" s="65" t="s">
        <v>631</v>
      </c>
      <c r="G27" s="4" t="s">
        <v>632</v>
      </c>
      <c r="H27" s="10"/>
      <c r="I27" s="3" t="s">
        <v>156</v>
      </c>
      <c r="J27" s="144" t="s">
        <v>633</v>
      </c>
      <c r="K27" s="3" t="s">
        <v>477</v>
      </c>
      <c r="L27" s="4"/>
    </row>
    <row r="28" spans="1:12">
      <c r="A28" s="17"/>
      <c r="B28" s="3">
        <v>25</v>
      </c>
      <c r="C28" s="4" t="s">
        <v>225</v>
      </c>
      <c r="D28" s="57">
        <v>16112065</v>
      </c>
      <c r="E28" s="4"/>
      <c r="F28" s="65" t="s">
        <v>636</v>
      </c>
      <c r="G28" s="4" t="s">
        <v>626</v>
      </c>
      <c r="H28" s="10"/>
      <c r="I28" s="3" t="s">
        <v>635</v>
      </c>
      <c r="J28" s="144" t="s">
        <v>637</v>
      </c>
      <c r="K28" s="3" t="s">
        <v>477</v>
      </c>
      <c r="L28" s="4"/>
    </row>
    <row r="29" spans="1:12">
      <c r="A29" s="17"/>
      <c r="B29" s="3">
        <v>26</v>
      </c>
      <c r="C29" s="4" t="s">
        <v>225</v>
      </c>
      <c r="D29" s="57">
        <v>16112066</v>
      </c>
      <c r="E29" s="4"/>
      <c r="F29" s="65">
        <v>13295</v>
      </c>
      <c r="G29" s="4" t="s">
        <v>232</v>
      </c>
      <c r="H29" s="10"/>
      <c r="I29" s="3" t="s">
        <v>635</v>
      </c>
      <c r="J29" s="1">
        <v>45464</v>
      </c>
      <c r="K29" s="3" t="s">
        <v>477</v>
      </c>
      <c r="L29" s="4"/>
    </row>
    <row r="30" spans="1:12">
      <c r="A30" s="17"/>
      <c r="B30" s="3">
        <v>27</v>
      </c>
      <c r="C30" s="4" t="s">
        <v>225</v>
      </c>
      <c r="D30" s="57">
        <v>16112067</v>
      </c>
      <c r="E30" s="4"/>
      <c r="F30" s="65">
        <v>13311</v>
      </c>
      <c r="G30" s="4" t="s">
        <v>632</v>
      </c>
      <c r="H30" s="10"/>
      <c r="I30" s="3" t="s">
        <v>635</v>
      </c>
      <c r="J30" s="1">
        <v>45470</v>
      </c>
      <c r="K30" s="3" t="s">
        <v>477</v>
      </c>
      <c r="L30" s="4"/>
    </row>
    <row r="31" spans="1:12">
      <c r="A31" s="17"/>
      <c r="B31" s="3">
        <v>28</v>
      </c>
      <c r="C31" s="4" t="s">
        <v>225</v>
      </c>
      <c r="D31" s="57">
        <v>16112068</v>
      </c>
      <c r="E31" s="4"/>
      <c r="F31" s="65">
        <v>13578</v>
      </c>
      <c r="G31" s="4" t="s">
        <v>232</v>
      </c>
      <c r="H31" s="10"/>
      <c r="I31" s="150" t="s">
        <v>84</v>
      </c>
      <c r="J31" s="156" t="s">
        <v>643</v>
      </c>
      <c r="K31" s="150" t="s">
        <v>477</v>
      </c>
      <c r="L31" s="4"/>
    </row>
    <row r="32" spans="1:12">
      <c r="A32" s="17"/>
      <c r="B32" s="3">
        <v>29</v>
      </c>
      <c r="C32" s="4" t="s">
        <v>225</v>
      </c>
      <c r="D32" s="57">
        <v>16112069</v>
      </c>
      <c r="E32" s="4"/>
      <c r="F32" s="65">
        <v>13580</v>
      </c>
      <c r="G32" s="4" t="s">
        <v>632</v>
      </c>
      <c r="H32" s="10"/>
      <c r="I32" s="150" t="s">
        <v>84</v>
      </c>
      <c r="J32" s="156" t="s">
        <v>643</v>
      </c>
      <c r="K32" s="150" t="s">
        <v>477</v>
      </c>
      <c r="L32" s="4"/>
    </row>
    <row r="33" spans="1:12">
      <c r="A33" s="17"/>
      <c r="B33" s="3">
        <v>30</v>
      </c>
      <c r="C33" s="4" t="s">
        <v>225</v>
      </c>
      <c r="D33" s="57">
        <v>16112070</v>
      </c>
      <c r="E33" s="4"/>
      <c r="F33" s="65" t="s">
        <v>645</v>
      </c>
      <c r="G33" s="4" t="s">
        <v>626</v>
      </c>
      <c r="H33" s="10"/>
      <c r="I33" s="150" t="s">
        <v>84</v>
      </c>
      <c r="J33" s="156" t="s">
        <v>644</v>
      </c>
      <c r="K33" s="150" t="s">
        <v>477</v>
      </c>
      <c r="L33" s="4"/>
    </row>
    <row r="34" spans="1:12">
      <c r="A34" s="17"/>
      <c r="B34" s="3">
        <v>31</v>
      </c>
      <c r="C34" s="4" t="s">
        <v>225</v>
      </c>
      <c r="D34" s="57">
        <v>16112071</v>
      </c>
      <c r="E34" s="4"/>
      <c r="F34" s="65">
        <v>13797</v>
      </c>
      <c r="G34" s="4" t="s">
        <v>647</v>
      </c>
      <c r="H34" s="10"/>
      <c r="I34" s="3" t="s">
        <v>84</v>
      </c>
      <c r="J34" s="156" t="s">
        <v>648</v>
      </c>
      <c r="K34" s="150" t="s">
        <v>477</v>
      </c>
      <c r="L34" s="4"/>
    </row>
    <row r="35" spans="1:12">
      <c r="A35" s="17"/>
      <c r="B35" s="3">
        <v>32</v>
      </c>
      <c r="C35" s="4" t="s">
        <v>225</v>
      </c>
      <c r="D35" s="57">
        <v>16112072</v>
      </c>
      <c r="E35" s="4"/>
      <c r="F35" s="65">
        <v>13828</v>
      </c>
      <c r="G35" s="4" t="s">
        <v>632</v>
      </c>
      <c r="H35" s="10"/>
      <c r="I35" s="3" t="s">
        <v>85</v>
      </c>
      <c r="J35" s="156" t="s">
        <v>650</v>
      </c>
      <c r="K35" s="150" t="s">
        <v>477</v>
      </c>
      <c r="L35" s="4"/>
    </row>
    <row r="36" spans="1:12">
      <c r="A36" s="17"/>
      <c r="B36" s="3">
        <v>33</v>
      </c>
      <c r="C36" s="4" t="s">
        <v>225</v>
      </c>
      <c r="D36" s="57">
        <v>16112073</v>
      </c>
      <c r="E36" s="4"/>
      <c r="F36" s="65">
        <v>13829</v>
      </c>
      <c r="G36" s="4" t="s">
        <v>232</v>
      </c>
      <c r="H36" s="10"/>
      <c r="I36" s="3" t="s">
        <v>85</v>
      </c>
      <c r="J36" s="156" t="s">
        <v>650</v>
      </c>
      <c r="K36" s="150" t="s">
        <v>477</v>
      </c>
      <c r="L36" s="4"/>
    </row>
    <row r="37" spans="1:12">
      <c r="A37" s="17"/>
      <c r="B37" s="3">
        <v>34</v>
      </c>
      <c r="C37" s="4" t="s">
        <v>225</v>
      </c>
      <c r="D37" s="57">
        <v>16112074</v>
      </c>
      <c r="E37" s="4"/>
      <c r="F37" s="65" t="s">
        <v>645</v>
      </c>
      <c r="G37" s="4" t="s">
        <v>626</v>
      </c>
      <c r="H37" s="10"/>
      <c r="I37" s="3" t="s">
        <v>85</v>
      </c>
      <c r="J37" s="156" t="s">
        <v>650</v>
      </c>
      <c r="K37" s="150" t="s">
        <v>477</v>
      </c>
      <c r="L37" s="4"/>
    </row>
    <row r="38" spans="1:12">
      <c r="A38" s="17"/>
      <c r="B38" s="3">
        <v>35</v>
      </c>
      <c r="C38" s="4" t="s">
        <v>225</v>
      </c>
      <c r="D38" s="57">
        <v>16112075</v>
      </c>
      <c r="E38" s="4"/>
      <c r="F38" s="65">
        <v>13904</v>
      </c>
      <c r="G38" s="4" t="s">
        <v>647</v>
      </c>
      <c r="H38" s="10"/>
      <c r="I38" s="3" t="s">
        <v>85</v>
      </c>
      <c r="J38" s="156" t="s">
        <v>652</v>
      </c>
      <c r="K38" s="150" t="s">
        <v>653</v>
      </c>
      <c r="L38" s="4"/>
    </row>
    <row r="39" spans="1:12">
      <c r="A39" s="17"/>
      <c r="B39" s="3">
        <v>36</v>
      </c>
      <c r="C39" s="4" t="s">
        <v>225</v>
      </c>
      <c r="D39" s="57">
        <v>16112076</v>
      </c>
      <c r="E39" s="4"/>
      <c r="F39" s="65" t="s">
        <v>656</v>
      </c>
      <c r="G39" s="4" t="s">
        <v>626</v>
      </c>
      <c r="H39" s="10"/>
      <c r="I39" s="3" t="s">
        <v>478</v>
      </c>
      <c r="J39" s="156" t="s">
        <v>657</v>
      </c>
      <c r="K39" s="150" t="s">
        <v>653</v>
      </c>
      <c r="L39" s="4"/>
    </row>
    <row r="40" spans="1:12">
      <c r="A40" s="17"/>
      <c r="B40" s="3">
        <v>37</v>
      </c>
      <c r="C40" s="4" t="s">
        <v>225</v>
      </c>
      <c r="D40" s="57">
        <v>16112077</v>
      </c>
      <c r="E40" s="4"/>
      <c r="F40" s="65">
        <v>14115</v>
      </c>
      <c r="G40" s="4" t="s">
        <v>632</v>
      </c>
      <c r="H40" s="10"/>
      <c r="I40" s="3" t="s">
        <v>478</v>
      </c>
      <c r="J40" s="156" t="s">
        <v>657</v>
      </c>
      <c r="K40" s="150" t="s">
        <v>653</v>
      </c>
      <c r="L40" s="4"/>
    </row>
    <row r="41" spans="1:12">
      <c r="A41" s="17"/>
      <c r="B41" s="3">
        <v>38</v>
      </c>
      <c r="C41" s="4" t="s">
        <v>225</v>
      </c>
      <c r="D41" s="57">
        <v>16112078</v>
      </c>
      <c r="E41" s="4"/>
      <c r="F41" s="65">
        <v>14121</v>
      </c>
      <c r="G41" s="4" t="s">
        <v>232</v>
      </c>
      <c r="H41" s="10"/>
      <c r="I41" s="3" t="s">
        <v>478</v>
      </c>
      <c r="J41" s="156" t="s">
        <v>657</v>
      </c>
      <c r="K41" s="150" t="s">
        <v>653</v>
      </c>
      <c r="L41" s="4"/>
    </row>
    <row r="42" spans="1:12">
      <c r="A42" s="17"/>
      <c r="B42" s="3">
        <v>39</v>
      </c>
      <c r="C42" s="4" t="s">
        <v>225</v>
      </c>
      <c r="D42" s="57">
        <v>16112079</v>
      </c>
      <c r="E42" s="4"/>
      <c r="F42" s="65">
        <v>14383</v>
      </c>
      <c r="G42" s="4" t="s">
        <v>232</v>
      </c>
      <c r="H42" s="10"/>
      <c r="I42" s="3" t="s">
        <v>662</v>
      </c>
      <c r="J42" s="12" t="s">
        <v>663</v>
      </c>
      <c r="K42" s="3" t="s">
        <v>653</v>
      </c>
      <c r="L42" s="4"/>
    </row>
    <row r="43" spans="1:12">
      <c r="B43" s="3">
        <v>40</v>
      </c>
      <c r="C43" s="4" t="s">
        <v>225</v>
      </c>
      <c r="D43" s="57">
        <v>16112080</v>
      </c>
      <c r="F43" s="65">
        <v>14380</v>
      </c>
      <c r="G43" s="4" t="s">
        <v>632</v>
      </c>
      <c r="H43" s="10"/>
      <c r="I43" s="3" t="s">
        <v>662</v>
      </c>
      <c r="J43" s="12" t="s">
        <v>663</v>
      </c>
      <c r="K43" s="3" t="s">
        <v>653</v>
      </c>
      <c r="L43" s="4"/>
    </row>
    <row r="44" spans="1:12">
      <c r="B44" s="3">
        <v>41</v>
      </c>
      <c r="C44" s="4" t="s">
        <v>225</v>
      </c>
      <c r="D44" s="57">
        <v>16112081</v>
      </c>
      <c r="F44" s="65" t="s">
        <v>664</v>
      </c>
      <c r="G44" s="4" t="s">
        <v>626</v>
      </c>
      <c r="H44" s="10"/>
      <c r="I44" s="3" t="s">
        <v>662</v>
      </c>
      <c r="J44" s="12" t="s">
        <v>663</v>
      </c>
      <c r="K44" s="3" t="s">
        <v>653</v>
      </c>
      <c r="L44" s="4"/>
    </row>
    <row r="45" spans="1:12">
      <c r="B45" s="3">
        <v>42</v>
      </c>
      <c r="C45" s="4" t="s">
        <v>225</v>
      </c>
      <c r="D45" s="57">
        <v>16112082</v>
      </c>
      <c r="F45" s="65">
        <v>14454</v>
      </c>
      <c r="G45" s="4" t="s">
        <v>667</v>
      </c>
      <c r="H45" s="10"/>
      <c r="I45" s="3" t="s">
        <v>662</v>
      </c>
      <c r="J45" s="12" t="s">
        <v>668</v>
      </c>
      <c r="K45" s="3" t="s">
        <v>653</v>
      </c>
      <c r="L45" s="4"/>
    </row>
    <row r="46" spans="1:12">
      <c r="B46" s="3">
        <v>43</v>
      </c>
      <c r="C46" s="4" t="s">
        <v>225</v>
      </c>
      <c r="D46" s="57">
        <v>16112083</v>
      </c>
      <c r="F46" s="65" t="s">
        <v>671</v>
      </c>
      <c r="G46" s="4" t="s">
        <v>626</v>
      </c>
      <c r="H46" s="10"/>
      <c r="I46" s="3" t="s">
        <v>669</v>
      </c>
      <c r="J46" s="12" t="s">
        <v>670</v>
      </c>
      <c r="K46" s="3" t="s">
        <v>653</v>
      </c>
      <c r="L46" s="4"/>
    </row>
    <row r="47" spans="1:12">
      <c r="B47" s="3">
        <v>44</v>
      </c>
      <c r="C47" s="4" t="s">
        <v>225</v>
      </c>
      <c r="D47" s="57">
        <v>16112084</v>
      </c>
      <c r="F47" s="65">
        <v>14611</v>
      </c>
      <c r="G47" s="4" t="s">
        <v>232</v>
      </c>
      <c r="H47" s="10"/>
      <c r="I47" s="3" t="s">
        <v>515</v>
      </c>
      <c r="J47" s="12" t="s">
        <v>672</v>
      </c>
      <c r="K47" s="3" t="s">
        <v>653</v>
      </c>
      <c r="L47" s="4"/>
    </row>
    <row r="48" spans="1:12">
      <c r="B48" s="3">
        <v>45</v>
      </c>
      <c r="C48" s="4" t="s">
        <v>225</v>
      </c>
      <c r="D48" s="57">
        <v>16112085</v>
      </c>
      <c r="F48" s="65">
        <v>14610</v>
      </c>
      <c r="G48" s="4" t="s">
        <v>632</v>
      </c>
      <c r="H48" s="10"/>
      <c r="I48" s="3" t="s">
        <v>515</v>
      </c>
      <c r="J48" s="12" t="s">
        <v>672</v>
      </c>
      <c r="K48" s="3" t="s">
        <v>653</v>
      </c>
      <c r="L48" s="4"/>
    </row>
    <row r="49" spans="2:12">
      <c r="B49" s="3">
        <v>46</v>
      </c>
      <c r="C49" s="4" t="s">
        <v>225</v>
      </c>
      <c r="D49" s="57">
        <v>16112086</v>
      </c>
      <c r="F49" s="65">
        <v>14770</v>
      </c>
      <c r="G49" s="4" t="s">
        <v>667</v>
      </c>
      <c r="H49" s="10"/>
      <c r="I49" s="3" t="s">
        <v>515</v>
      </c>
      <c r="J49" s="12" t="s">
        <v>676</v>
      </c>
      <c r="K49" s="3" t="s">
        <v>653</v>
      </c>
      <c r="L49" s="4"/>
    </row>
    <row r="50" spans="2:12">
      <c r="B50" s="3">
        <v>47</v>
      </c>
      <c r="C50" s="4" t="s">
        <v>225</v>
      </c>
      <c r="D50" s="57">
        <v>16112087</v>
      </c>
      <c r="F50" s="65">
        <v>14925</v>
      </c>
      <c r="G50" s="4" t="s">
        <v>232</v>
      </c>
      <c r="H50" s="10"/>
      <c r="I50" s="3" t="s">
        <v>33</v>
      </c>
      <c r="J50" s="144" t="s">
        <v>678</v>
      </c>
      <c r="K50" s="3" t="s">
        <v>653</v>
      </c>
      <c r="L50" s="4"/>
    </row>
    <row r="51" spans="2:12">
      <c r="B51" s="3">
        <v>48</v>
      </c>
      <c r="C51" s="4" t="s">
        <v>225</v>
      </c>
      <c r="D51" s="57">
        <v>16112088</v>
      </c>
      <c r="F51" s="65">
        <v>14904</v>
      </c>
      <c r="G51" s="4" t="s">
        <v>667</v>
      </c>
      <c r="H51" s="10"/>
      <c r="I51" s="3" t="s">
        <v>33</v>
      </c>
      <c r="J51" s="144" t="s">
        <v>678</v>
      </c>
      <c r="K51" s="3" t="s">
        <v>653</v>
      </c>
      <c r="L51" s="4"/>
    </row>
    <row r="52" spans="2:12">
      <c r="B52" s="3">
        <v>49</v>
      </c>
      <c r="C52" s="4" t="s">
        <v>225</v>
      </c>
      <c r="D52" s="57">
        <v>16112089</v>
      </c>
      <c r="F52" s="65" t="s">
        <v>683</v>
      </c>
      <c r="G52" s="4" t="s">
        <v>626</v>
      </c>
      <c r="H52" s="10"/>
      <c r="I52" s="3" t="s">
        <v>33</v>
      </c>
      <c r="J52" s="144" t="s">
        <v>684</v>
      </c>
      <c r="K52" s="3" t="s">
        <v>653</v>
      </c>
      <c r="L52" s="4"/>
    </row>
    <row r="53" spans="2:12">
      <c r="B53" s="3">
        <v>50</v>
      </c>
      <c r="C53" s="4" t="s">
        <v>225</v>
      </c>
      <c r="D53" s="57">
        <v>16112090</v>
      </c>
      <c r="F53" s="65" t="s">
        <v>690</v>
      </c>
      <c r="G53" s="4" t="s">
        <v>626</v>
      </c>
      <c r="H53" s="10"/>
      <c r="I53" s="3" t="s">
        <v>518</v>
      </c>
      <c r="J53" s="144" t="s">
        <v>691</v>
      </c>
      <c r="K53" s="3" t="s">
        <v>653</v>
      </c>
      <c r="L53" s="4"/>
    </row>
    <row r="54" spans="2:12">
      <c r="B54" s="3">
        <v>51</v>
      </c>
      <c r="C54" s="4" t="s">
        <v>225</v>
      </c>
      <c r="D54" s="57">
        <v>16112091</v>
      </c>
      <c r="F54" s="65">
        <v>15145</v>
      </c>
      <c r="G54" s="4" t="s">
        <v>232</v>
      </c>
      <c r="H54" s="10"/>
      <c r="I54" s="3" t="s">
        <v>518</v>
      </c>
      <c r="J54" s="144" t="s">
        <v>692</v>
      </c>
      <c r="K54" s="3" t="s">
        <v>653</v>
      </c>
      <c r="L54" s="4"/>
    </row>
    <row r="55" spans="2:12">
      <c r="B55" s="3">
        <v>52</v>
      </c>
      <c r="C55" s="4" t="s">
        <v>225</v>
      </c>
      <c r="D55" s="57">
        <v>16112092</v>
      </c>
      <c r="F55" s="65">
        <v>15144</v>
      </c>
      <c r="G55" s="4" t="s">
        <v>667</v>
      </c>
      <c r="I55" s="3" t="s">
        <v>518</v>
      </c>
      <c r="J55" s="144" t="s">
        <v>692</v>
      </c>
      <c r="K55" s="3" t="s">
        <v>653</v>
      </c>
      <c r="L55" s="4"/>
    </row>
    <row r="56" spans="2:12">
      <c r="B56" s="150">
        <v>53</v>
      </c>
      <c r="C56" s="151" t="s">
        <v>225</v>
      </c>
      <c r="D56" s="166">
        <v>16112093</v>
      </c>
      <c r="F56" s="153" t="s">
        <v>696</v>
      </c>
      <c r="G56" s="151" t="s">
        <v>626</v>
      </c>
      <c r="H56" s="154"/>
      <c r="I56" s="150" t="s">
        <v>217</v>
      </c>
      <c r="J56" s="167" t="s">
        <v>697</v>
      </c>
      <c r="K56" s="150" t="s">
        <v>653</v>
      </c>
      <c r="L56" s="4"/>
    </row>
    <row r="57" spans="2:12">
      <c r="B57" s="3">
        <v>54</v>
      </c>
      <c r="C57" s="4" t="s">
        <v>225</v>
      </c>
      <c r="D57" s="57">
        <v>16112094</v>
      </c>
      <c r="E57" s="4"/>
      <c r="F57" s="65">
        <v>15373</v>
      </c>
      <c r="G57" s="4" t="s">
        <v>232</v>
      </c>
      <c r="H57" s="10"/>
      <c r="I57" s="3" t="s">
        <v>217</v>
      </c>
      <c r="J57" s="144" t="s">
        <v>699</v>
      </c>
      <c r="K57" s="3" t="s">
        <v>653</v>
      </c>
      <c r="L57" s="4"/>
    </row>
    <row r="58" spans="2:12">
      <c r="B58" s="3">
        <v>55</v>
      </c>
      <c r="C58" s="4" t="s">
        <v>225</v>
      </c>
      <c r="D58" s="57">
        <v>16112095</v>
      </c>
      <c r="E58" s="4"/>
      <c r="F58" s="65">
        <v>15372</v>
      </c>
      <c r="G58" s="4" t="s">
        <v>667</v>
      </c>
      <c r="H58" s="10"/>
      <c r="I58" s="3" t="s">
        <v>217</v>
      </c>
      <c r="J58" s="144" t="s">
        <v>699</v>
      </c>
      <c r="K58" s="3" t="s">
        <v>653</v>
      </c>
      <c r="L58" s="4"/>
    </row>
    <row r="59" spans="2:12">
      <c r="B59" s="3">
        <v>56</v>
      </c>
      <c r="C59" s="4" t="s">
        <v>707</v>
      </c>
      <c r="D59" s="57">
        <v>16112096</v>
      </c>
      <c r="E59" s="4"/>
      <c r="F59" s="153" t="s">
        <v>705</v>
      </c>
      <c r="G59" s="151" t="s">
        <v>626</v>
      </c>
      <c r="H59" s="10"/>
      <c r="I59" s="3" t="s">
        <v>531</v>
      </c>
      <c r="J59" s="144" t="s">
        <v>706</v>
      </c>
      <c r="K59" s="3" t="s">
        <v>653</v>
      </c>
      <c r="L59" s="4"/>
    </row>
    <row r="60" spans="2:12">
      <c r="B60" s="3">
        <v>57</v>
      </c>
      <c r="C60" s="4" t="s">
        <v>708</v>
      </c>
      <c r="D60" s="57">
        <v>16112097</v>
      </c>
      <c r="E60" s="4"/>
      <c r="F60" s="65"/>
      <c r="G60" s="4" t="s">
        <v>709</v>
      </c>
      <c r="H60" s="10"/>
      <c r="I60" s="3" t="s">
        <v>531</v>
      </c>
      <c r="J60" s="168">
        <v>45743</v>
      </c>
      <c r="K60" s="3" t="s">
        <v>710</v>
      </c>
      <c r="L60" s="4"/>
    </row>
    <row r="61" spans="2:12">
      <c r="B61" s="3">
        <v>58</v>
      </c>
      <c r="C61" s="4" t="s">
        <v>225</v>
      </c>
      <c r="D61" s="57">
        <v>16112098</v>
      </c>
      <c r="E61" s="4"/>
      <c r="F61" s="65" t="s">
        <v>711</v>
      </c>
      <c r="G61" s="4" t="s">
        <v>232</v>
      </c>
      <c r="H61" s="10"/>
      <c r="I61" s="3" t="s">
        <v>531</v>
      </c>
      <c r="J61" s="168">
        <v>45743</v>
      </c>
      <c r="K61" s="3" t="s">
        <v>710</v>
      </c>
      <c r="L61" s="4"/>
    </row>
    <row r="62" spans="2:12">
      <c r="B62" s="3">
        <v>59</v>
      </c>
      <c r="C62" s="4" t="s">
        <v>225</v>
      </c>
      <c r="D62" s="57">
        <v>16112099</v>
      </c>
      <c r="E62" s="4"/>
      <c r="F62" s="65" t="s">
        <v>712</v>
      </c>
      <c r="G62" s="4" t="s">
        <v>667</v>
      </c>
      <c r="H62" s="10"/>
      <c r="I62" s="3" t="s">
        <v>531</v>
      </c>
      <c r="J62" s="168">
        <v>45743</v>
      </c>
      <c r="K62" s="3" t="s">
        <v>710</v>
      </c>
      <c r="L62" s="4"/>
    </row>
    <row r="63" spans="2:12">
      <c r="B63" s="3">
        <v>60</v>
      </c>
      <c r="C63" s="4" t="s">
        <v>229</v>
      </c>
      <c r="D63" s="57">
        <v>16112100</v>
      </c>
      <c r="E63" s="4"/>
      <c r="F63" s="65" t="s">
        <v>752</v>
      </c>
      <c r="G63" s="151" t="s">
        <v>626</v>
      </c>
      <c r="H63" s="10"/>
      <c r="I63" s="3" t="s">
        <v>562</v>
      </c>
      <c r="J63" s="168">
        <v>45763</v>
      </c>
      <c r="K63" s="3" t="s">
        <v>753</v>
      </c>
      <c r="L63" s="4"/>
    </row>
    <row r="64" spans="2:12">
      <c r="B64" s="3">
        <v>61</v>
      </c>
      <c r="C64" s="4" t="s">
        <v>229</v>
      </c>
      <c r="D64" s="57">
        <v>16112101</v>
      </c>
      <c r="E64" s="4"/>
      <c r="F64" s="65">
        <v>15941</v>
      </c>
      <c r="G64" s="4" t="s">
        <v>667</v>
      </c>
      <c r="H64" s="10"/>
      <c r="I64" s="3" t="s">
        <v>562</v>
      </c>
      <c r="J64" s="168">
        <v>45769</v>
      </c>
      <c r="K64" s="3" t="s">
        <v>755</v>
      </c>
      <c r="L64" s="4"/>
    </row>
    <row r="65" spans="2:12">
      <c r="B65" s="3">
        <v>62</v>
      </c>
      <c r="C65" s="4" t="s">
        <v>756</v>
      </c>
      <c r="D65" s="57">
        <v>16112102</v>
      </c>
      <c r="E65" s="4"/>
      <c r="F65" s="65">
        <v>15942</v>
      </c>
      <c r="G65" s="4" t="s">
        <v>232</v>
      </c>
      <c r="H65" s="10"/>
      <c r="I65" s="3" t="s">
        <v>562</v>
      </c>
      <c r="J65" s="168">
        <v>45769</v>
      </c>
      <c r="K65" s="3" t="s">
        <v>755</v>
      </c>
      <c r="L65" s="4"/>
    </row>
    <row r="66" spans="2:12">
      <c r="B66" s="3">
        <v>63</v>
      </c>
      <c r="C66" s="4" t="s">
        <v>756</v>
      </c>
      <c r="D66" s="57">
        <v>16112103</v>
      </c>
      <c r="E66" s="4"/>
      <c r="F66" s="65" t="s">
        <v>785</v>
      </c>
      <c r="G66" s="151" t="s">
        <v>626</v>
      </c>
      <c r="H66" s="10"/>
      <c r="I66" s="3" t="s">
        <v>786</v>
      </c>
      <c r="J66" s="168">
        <v>45792</v>
      </c>
      <c r="K66" s="3" t="s">
        <v>710</v>
      </c>
      <c r="L66" s="4"/>
    </row>
    <row r="67" spans="2:12">
      <c r="B67" s="3">
        <v>64</v>
      </c>
      <c r="C67" s="4" t="s">
        <v>229</v>
      </c>
      <c r="D67" s="57">
        <v>16112104</v>
      </c>
      <c r="E67" s="4"/>
      <c r="F67" s="65">
        <v>16225</v>
      </c>
      <c r="G67" s="4" t="s">
        <v>667</v>
      </c>
      <c r="H67" s="10"/>
      <c r="I67" s="3" t="s">
        <v>156</v>
      </c>
      <c r="J67" s="168">
        <v>45799</v>
      </c>
      <c r="K67" s="3" t="s">
        <v>710</v>
      </c>
      <c r="L67" s="4"/>
    </row>
    <row r="68" spans="2:12">
      <c r="B68" s="3">
        <v>65</v>
      </c>
      <c r="C68" s="4" t="s">
        <v>229</v>
      </c>
      <c r="D68" s="57">
        <v>16112105</v>
      </c>
      <c r="E68" s="4"/>
      <c r="F68" s="65">
        <v>16226</v>
      </c>
      <c r="G68" s="4" t="s">
        <v>789</v>
      </c>
      <c r="H68" s="10"/>
      <c r="I68" s="3" t="s">
        <v>156</v>
      </c>
      <c r="J68" s="168">
        <v>45799</v>
      </c>
      <c r="K68" s="3" t="s">
        <v>710</v>
      </c>
      <c r="L68" s="4"/>
    </row>
    <row r="69" spans="2:12">
      <c r="B69" s="3">
        <v>66</v>
      </c>
      <c r="C69" s="4" t="s">
        <v>756</v>
      </c>
      <c r="D69" s="57">
        <v>16112106</v>
      </c>
      <c r="E69" s="4"/>
      <c r="F69" s="65">
        <v>16209</v>
      </c>
      <c r="G69" s="4" t="s">
        <v>232</v>
      </c>
      <c r="H69" s="10"/>
      <c r="I69" s="3" t="s">
        <v>156</v>
      </c>
      <c r="J69" s="168">
        <v>45799</v>
      </c>
      <c r="K69" s="3" t="s">
        <v>710</v>
      </c>
      <c r="L69" s="4"/>
    </row>
    <row r="70" spans="2:12">
      <c r="B70" s="3">
        <v>67</v>
      </c>
      <c r="C70" s="4" t="s">
        <v>756</v>
      </c>
      <c r="D70" s="57">
        <v>16112107</v>
      </c>
      <c r="E70" s="4"/>
      <c r="F70" s="65" t="s">
        <v>794</v>
      </c>
      <c r="G70" s="151" t="s">
        <v>626</v>
      </c>
      <c r="H70" s="10"/>
      <c r="I70" s="3" t="s">
        <v>795</v>
      </c>
      <c r="J70" s="168">
        <v>45824</v>
      </c>
      <c r="K70" s="3" t="s">
        <v>653</v>
      </c>
      <c r="L70" s="4"/>
    </row>
    <row r="71" spans="2:12">
      <c r="B71" s="3">
        <v>68</v>
      </c>
      <c r="C71" s="4" t="s">
        <v>796</v>
      </c>
      <c r="D71" s="57">
        <v>16112108</v>
      </c>
      <c r="E71" s="4"/>
      <c r="F71" s="65">
        <v>16517</v>
      </c>
      <c r="G71" s="4" t="s">
        <v>797</v>
      </c>
      <c r="H71" s="10"/>
      <c r="I71" s="3" t="s">
        <v>635</v>
      </c>
      <c r="J71" s="168">
        <v>45834</v>
      </c>
      <c r="K71" s="3" t="s">
        <v>653</v>
      </c>
      <c r="L71" s="4"/>
    </row>
    <row r="72" spans="2:12">
      <c r="B72" s="3">
        <v>69</v>
      </c>
      <c r="C72" s="4" t="s">
        <v>756</v>
      </c>
      <c r="D72" s="57">
        <v>16112109</v>
      </c>
      <c r="E72" s="4"/>
      <c r="F72" s="65">
        <v>16508</v>
      </c>
      <c r="G72" s="4" t="s">
        <v>232</v>
      </c>
      <c r="H72" s="10"/>
      <c r="I72" s="3" t="s">
        <v>635</v>
      </c>
      <c r="J72" s="168">
        <v>45834</v>
      </c>
      <c r="K72" s="3" t="s">
        <v>653</v>
      </c>
      <c r="L72" s="4"/>
    </row>
    <row r="73" spans="2:12">
      <c r="B73" s="3">
        <v>70</v>
      </c>
      <c r="C73" s="4" t="s">
        <v>229</v>
      </c>
      <c r="D73" s="57">
        <v>16112110</v>
      </c>
      <c r="F73" s="64">
        <v>16447</v>
      </c>
      <c r="G73" s="4" t="s">
        <v>789</v>
      </c>
      <c r="I73" s="3" t="s">
        <v>635</v>
      </c>
      <c r="J73" s="168">
        <v>45834</v>
      </c>
      <c r="K73" s="3" t="s">
        <v>653</v>
      </c>
    </row>
    <row r="74" spans="2:12">
      <c r="B74" s="3">
        <v>71</v>
      </c>
      <c r="C74" s="4" t="s">
        <v>229</v>
      </c>
      <c r="D74" s="57">
        <v>16112111</v>
      </c>
      <c r="F74" s="64">
        <v>16443</v>
      </c>
      <c r="G74" s="4" t="s">
        <v>667</v>
      </c>
      <c r="H74" s="169"/>
      <c r="I74" s="3" t="s">
        <v>635</v>
      </c>
      <c r="J74" s="168">
        <v>45834</v>
      </c>
      <c r="K74" s="3" t="s">
        <v>653</v>
      </c>
    </row>
    <row r="75" spans="2:12">
      <c r="B75" s="3">
        <v>72</v>
      </c>
      <c r="C75" s="4" t="s">
        <v>756</v>
      </c>
      <c r="D75" s="57">
        <v>16112112</v>
      </c>
      <c r="F75" s="65" t="s">
        <v>800</v>
      </c>
      <c r="G75" s="151" t="s">
        <v>626</v>
      </c>
      <c r="H75" s="10"/>
      <c r="I75" s="3" t="s">
        <v>640</v>
      </c>
      <c r="J75" s="168">
        <v>45855</v>
      </c>
      <c r="K75" s="3" t="s">
        <v>653</v>
      </c>
    </row>
    <row r="76" spans="2:12">
      <c r="B76" s="3">
        <v>73</v>
      </c>
      <c r="C76" s="4" t="s">
        <v>756</v>
      </c>
      <c r="D76" s="57">
        <v>16112113</v>
      </c>
      <c r="E76" s="170"/>
      <c r="F76" s="65" t="s">
        <v>801</v>
      </c>
      <c r="G76" s="4" t="s">
        <v>626</v>
      </c>
      <c r="H76" s="171"/>
      <c r="I76" s="3" t="s">
        <v>640</v>
      </c>
      <c r="J76" s="168">
        <v>45855</v>
      </c>
      <c r="K76" s="3" t="s">
        <v>653</v>
      </c>
    </row>
    <row r="77" spans="2:12">
      <c r="B77" s="3">
        <v>74</v>
      </c>
      <c r="C77" s="4" t="s">
        <v>796</v>
      </c>
      <c r="D77" s="57">
        <v>16112114</v>
      </c>
      <c r="E77" s="4"/>
      <c r="F77" s="65">
        <v>16806</v>
      </c>
      <c r="G77" s="4" t="s">
        <v>797</v>
      </c>
      <c r="H77" s="10"/>
      <c r="I77" s="3" t="s">
        <v>640</v>
      </c>
      <c r="J77" s="168">
        <v>45861</v>
      </c>
      <c r="K77" s="3" t="s">
        <v>653</v>
      </c>
    </row>
    <row r="78" spans="2:12">
      <c r="B78" s="3">
        <v>75</v>
      </c>
      <c r="C78" s="4" t="s">
        <v>229</v>
      </c>
      <c r="D78" s="57">
        <v>16112115</v>
      </c>
      <c r="E78" s="4"/>
      <c r="F78" s="65">
        <v>16810</v>
      </c>
      <c r="G78" s="4" t="s">
        <v>232</v>
      </c>
      <c r="H78" s="10"/>
      <c r="I78" s="3" t="s">
        <v>640</v>
      </c>
      <c r="J78" s="168">
        <v>45861</v>
      </c>
      <c r="K78" s="3" t="s">
        <v>653</v>
      </c>
    </row>
    <row r="79" spans="2:12">
      <c r="B79" s="3">
        <v>76</v>
      </c>
      <c r="C79" s="4" t="s">
        <v>229</v>
      </c>
      <c r="D79" s="57">
        <v>16112116</v>
      </c>
      <c r="E79" s="4"/>
      <c r="F79" s="65">
        <v>16815</v>
      </c>
      <c r="G79" s="4" t="s">
        <v>789</v>
      </c>
      <c r="H79" s="10"/>
      <c r="I79" s="3" t="s">
        <v>640</v>
      </c>
      <c r="J79" s="168">
        <v>45861</v>
      </c>
      <c r="K79" s="3" t="s">
        <v>653</v>
      </c>
    </row>
    <row r="80" spans="2:12">
      <c r="B80" s="3">
        <v>77</v>
      </c>
      <c r="C80" s="4" t="s">
        <v>806</v>
      </c>
      <c r="D80" s="57">
        <v>16112117</v>
      </c>
      <c r="E80" s="4"/>
      <c r="F80" s="65">
        <v>16822</v>
      </c>
      <c r="G80" s="4" t="s">
        <v>807</v>
      </c>
      <c r="H80" s="10"/>
      <c r="I80" s="3" t="s">
        <v>808</v>
      </c>
      <c r="J80" s="168">
        <v>45863</v>
      </c>
      <c r="K80" s="3" t="s">
        <v>809</v>
      </c>
    </row>
    <row r="81" spans="2:11">
      <c r="B81" s="3">
        <v>78</v>
      </c>
      <c r="C81" s="4" t="s">
        <v>756</v>
      </c>
      <c r="D81" s="57">
        <v>16112118</v>
      </c>
      <c r="E81" s="4"/>
      <c r="F81" s="65" t="s">
        <v>819</v>
      </c>
      <c r="G81" s="4" t="s">
        <v>626</v>
      </c>
      <c r="H81" s="10"/>
      <c r="I81" s="3" t="s">
        <v>85</v>
      </c>
      <c r="J81" s="162">
        <v>45887</v>
      </c>
      <c r="K81" s="3" t="s">
        <v>653</v>
      </c>
    </row>
    <row r="82" spans="2:11">
      <c r="B82" s="3">
        <v>79</v>
      </c>
      <c r="C82" s="4" t="s">
        <v>756</v>
      </c>
      <c r="D82" s="57">
        <v>16112119</v>
      </c>
      <c r="E82" s="4"/>
      <c r="F82" s="65" t="s">
        <v>820</v>
      </c>
      <c r="G82" s="4" t="s">
        <v>626</v>
      </c>
      <c r="H82" s="10"/>
      <c r="I82" s="3" t="s">
        <v>85</v>
      </c>
      <c r="J82" s="162">
        <v>45887</v>
      </c>
      <c r="K82" s="3" t="s">
        <v>653</v>
      </c>
    </row>
    <row r="83" spans="2:11">
      <c r="B83" s="3">
        <v>80</v>
      </c>
      <c r="C83" s="4" t="s">
        <v>229</v>
      </c>
      <c r="D83" s="57">
        <v>16112120</v>
      </c>
      <c r="E83" s="4"/>
      <c r="F83" s="65">
        <v>17063</v>
      </c>
      <c r="G83" s="4" t="s">
        <v>232</v>
      </c>
      <c r="H83" s="10"/>
      <c r="I83" s="3" t="s">
        <v>85</v>
      </c>
      <c r="J83" s="168">
        <v>45889</v>
      </c>
      <c r="K83" s="3" t="s">
        <v>653</v>
      </c>
    </row>
    <row r="84" spans="2:11">
      <c r="B84" s="3">
        <v>81</v>
      </c>
      <c r="C84" s="4" t="s">
        <v>229</v>
      </c>
      <c r="D84" s="57">
        <v>16112121</v>
      </c>
      <c r="E84" s="4"/>
      <c r="F84" s="65">
        <v>17062</v>
      </c>
      <c r="G84" s="4" t="s">
        <v>789</v>
      </c>
      <c r="H84" s="10"/>
      <c r="I84" s="3" t="s">
        <v>85</v>
      </c>
      <c r="J84" s="168">
        <v>45889</v>
      </c>
      <c r="K84" s="3" t="s">
        <v>653</v>
      </c>
    </row>
    <row r="85" spans="2:11">
      <c r="B85" s="3">
        <v>82</v>
      </c>
      <c r="C85" s="4" t="s">
        <v>796</v>
      </c>
      <c r="D85" s="57">
        <v>16112122</v>
      </c>
      <c r="E85" s="4"/>
      <c r="F85" s="65">
        <v>17064</v>
      </c>
      <c r="G85" s="4" t="s">
        <v>797</v>
      </c>
      <c r="H85" s="10"/>
      <c r="I85" s="3" t="s">
        <v>85</v>
      </c>
      <c r="J85" s="168">
        <v>45894</v>
      </c>
      <c r="K85" s="3" t="s">
        <v>653</v>
      </c>
    </row>
    <row r="86" spans="2:11">
      <c r="B86" s="3">
        <v>83</v>
      </c>
      <c r="C86" s="4" t="s">
        <v>831</v>
      </c>
      <c r="D86" s="57">
        <v>16112123</v>
      </c>
      <c r="E86" s="4"/>
      <c r="F86" s="65">
        <v>17084</v>
      </c>
      <c r="G86" s="4" t="s">
        <v>807</v>
      </c>
      <c r="H86" s="10"/>
      <c r="I86" s="3" t="s">
        <v>85</v>
      </c>
      <c r="J86" s="168">
        <v>45894</v>
      </c>
      <c r="K86" s="3" t="s">
        <v>653</v>
      </c>
    </row>
    <row r="87" spans="2:11">
      <c r="B87" s="3">
        <v>84</v>
      </c>
      <c r="C87" s="4" t="s">
        <v>756</v>
      </c>
      <c r="D87" s="57">
        <v>16112124</v>
      </c>
      <c r="E87" s="4"/>
      <c r="F87" s="65" t="s">
        <v>830</v>
      </c>
      <c r="G87" s="4" t="s">
        <v>626</v>
      </c>
      <c r="H87" s="10"/>
      <c r="I87" s="3" t="s">
        <v>481</v>
      </c>
      <c r="J87" s="168">
        <v>45918</v>
      </c>
      <c r="K87" s="3" t="s">
        <v>653</v>
      </c>
    </row>
    <row r="88" spans="2:11">
      <c r="B88" s="3">
        <v>85</v>
      </c>
      <c r="C88" s="4" t="s">
        <v>229</v>
      </c>
      <c r="D88" s="57">
        <v>16112125</v>
      </c>
      <c r="E88" s="4"/>
      <c r="F88" s="65">
        <v>17345</v>
      </c>
      <c r="G88" s="4" t="s">
        <v>232</v>
      </c>
      <c r="H88" s="10"/>
      <c r="I88" s="3" t="s">
        <v>481</v>
      </c>
      <c r="J88" s="168">
        <v>45924</v>
      </c>
      <c r="K88" s="3" t="s">
        <v>653</v>
      </c>
    </row>
    <row r="89" spans="2:11">
      <c r="B89" s="3">
        <v>86</v>
      </c>
      <c r="C89" s="4" t="s">
        <v>229</v>
      </c>
      <c r="D89" s="57">
        <v>16112126</v>
      </c>
      <c r="E89" s="4"/>
      <c r="F89" s="65">
        <v>17346</v>
      </c>
      <c r="G89" s="4" t="s">
        <v>789</v>
      </c>
      <c r="H89" s="10"/>
      <c r="I89" s="3" t="s">
        <v>481</v>
      </c>
      <c r="J89" s="168">
        <v>45924</v>
      </c>
      <c r="K89" s="3" t="s">
        <v>653</v>
      </c>
    </row>
    <row r="90" spans="2:11">
      <c r="B90" s="3">
        <v>87</v>
      </c>
      <c r="C90" s="4" t="s">
        <v>796</v>
      </c>
      <c r="D90" s="57">
        <v>16112127</v>
      </c>
      <c r="E90" s="4"/>
      <c r="F90" s="65">
        <v>17375</v>
      </c>
      <c r="G90" s="4" t="s">
        <v>797</v>
      </c>
      <c r="H90" s="10"/>
      <c r="I90" s="3" t="s">
        <v>481</v>
      </c>
      <c r="J90" s="168">
        <v>45924</v>
      </c>
      <c r="K90" s="3" t="s">
        <v>653</v>
      </c>
    </row>
    <row r="91" spans="2:11">
      <c r="B91" s="3">
        <v>88</v>
      </c>
      <c r="C91" s="4" t="s">
        <v>831</v>
      </c>
      <c r="D91" s="57">
        <v>16112128</v>
      </c>
      <c r="E91" s="4"/>
      <c r="F91" s="65">
        <v>17376</v>
      </c>
      <c r="G91" s="4" t="s">
        <v>807</v>
      </c>
      <c r="H91" s="10"/>
      <c r="I91" s="3" t="s">
        <v>481</v>
      </c>
      <c r="J91" s="168">
        <v>45924</v>
      </c>
      <c r="K91" s="3" t="s">
        <v>653</v>
      </c>
    </row>
    <row r="92" spans="2:11">
      <c r="B92" s="3">
        <v>89</v>
      </c>
      <c r="C92" s="4" t="s">
        <v>756</v>
      </c>
      <c r="D92" s="57">
        <v>16112129</v>
      </c>
      <c r="E92" s="4"/>
      <c r="F92" s="65" t="s">
        <v>843</v>
      </c>
      <c r="G92" s="4" t="s">
        <v>626</v>
      </c>
      <c r="H92" s="10"/>
      <c r="I92" s="3" t="s">
        <v>844</v>
      </c>
      <c r="J92" s="168">
        <v>45952</v>
      </c>
      <c r="K92" s="3" t="s">
        <v>653</v>
      </c>
    </row>
    <row r="93" spans="2:11">
      <c r="B93" s="3">
        <v>90</v>
      </c>
      <c r="C93" s="4" t="s">
        <v>229</v>
      </c>
      <c r="D93" s="57">
        <v>16112130</v>
      </c>
      <c r="E93" s="4"/>
      <c r="F93" s="65">
        <v>17669</v>
      </c>
      <c r="G93" s="4" t="s">
        <v>232</v>
      </c>
      <c r="H93" s="10"/>
      <c r="I93" s="3" t="s">
        <v>844</v>
      </c>
      <c r="J93" s="168">
        <v>45952</v>
      </c>
      <c r="K93" s="3" t="s">
        <v>653</v>
      </c>
    </row>
    <row r="94" spans="2:11">
      <c r="B94" s="3">
        <v>91</v>
      </c>
      <c r="C94" s="4" t="s">
        <v>229</v>
      </c>
      <c r="D94" s="57">
        <v>16112131</v>
      </c>
      <c r="E94" s="4"/>
      <c r="F94" s="65">
        <v>17668</v>
      </c>
      <c r="G94" s="4" t="s">
        <v>789</v>
      </c>
      <c r="H94" s="10"/>
      <c r="I94" s="3" t="s">
        <v>844</v>
      </c>
      <c r="J94" s="168">
        <v>45952</v>
      </c>
      <c r="K94" s="3" t="s">
        <v>653</v>
      </c>
    </row>
    <row r="95" spans="2:11">
      <c r="B95" s="3">
        <v>92</v>
      </c>
      <c r="C95" s="4" t="s">
        <v>796</v>
      </c>
      <c r="D95" s="57">
        <v>16112132</v>
      </c>
      <c r="E95" s="4"/>
      <c r="F95" s="65">
        <v>17667</v>
      </c>
      <c r="G95" s="4" t="s">
        <v>797</v>
      </c>
      <c r="H95" s="10"/>
      <c r="I95" s="3" t="s">
        <v>844</v>
      </c>
      <c r="J95" s="168">
        <v>45952</v>
      </c>
      <c r="K95" s="3" t="s">
        <v>653</v>
      </c>
    </row>
    <row r="96" spans="2:11">
      <c r="B96" s="3">
        <v>93</v>
      </c>
      <c r="C96" s="4" t="s">
        <v>831</v>
      </c>
      <c r="D96" s="57">
        <v>16112133</v>
      </c>
      <c r="E96" s="4"/>
      <c r="F96" s="65">
        <v>17655</v>
      </c>
      <c r="G96" s="4" t="s">
        <v>807</v>
      </c>
      <c r="H96" s="10"/>
      <c r="I96" s="3" t="s">
        <v>844</v>
      </c>
      <c r="J96" s="168">
        <v>45952</v>
      </c>
      <c r="K96" s="3" t="s">
        <v>653</v>
      </c>
    </row>
    <row r="97" spans="2:11">
      <c r="B97" s="3">
        <v>94</v>
      </c>
      <c r="C97" s="4" t="s">
        <v>756</v>
      </c>
      <c r="D97" s="57">
        <v>16112134</v>
      </c>
      <c r="E97" s="4"/>
      <c r="F97" s="65" t="s">
        <v>856</v>
      </c>
      <c r="G97" s="4" t="s">
        <v>626</v>
      </c>
      <c r="H97" s="10"/>
      <c r="I97" s="3" t="s">
        <v>857</v>
      </c>
      <c r="J97" s="168">
        <v>45975</v>
      </c>
      <c r="K97" s="3" t="s">
        <v>653</v>
      </c>
    </row>
    <row r="98" spans="2:11">
      <c r="B98" s="3">
        <v>95</v>
      </c>
      <c r="C98" s="4" t="s">
        <v>831</v>
      </c>
      <c r="D98" s="57">
        <v>16112135</v>
      </c>
      <c r="E98" s="4"/>
      <c r="F98" s="65">
        <v>17959</v>
      </c>
      <c r="G98" s="4" t="s">
        <v>807</v>
      </c>
      <c r="H98" s="10"/>
      <c r="I98" s="3" t="s">
        <v>515</v>
      </c>
      <c r="J98" s="168"/>
      <c r="K98" s="3"/>
    </row>
    <row r="99" spans="2:11">
      <c r="B99" s="3">
        <v>96</v>
      </c>
      <c r="C99" s="4" t="s">
        <v>229</v>
      </c>
      <c r="D99" s="57">
        <v>16112136</v>
      </c>
      <c r="E99" s="4"/>
      <c r="F99" s="65">
        <v>17978</v>
      </c>
      <c r="G99" s="4" t="s">
        <v>232</v>
      </c>
      <c r="H99" s="10"/>
      <c r="I99" s="3" t="s">
        <v>515</v>
      </c>
      <c r="J99" s="168"/>
      <c r="K99" s="3"/>
    </row>
    <row r="100" spans="2:11">
      <c r="B100" s="3">
        <v>97</v>
      </c>
      <c r="C100" s="4" t="s">
        <v>796</v>
      </c>
      <c r="D100" s="57">
        <v>16112137</v>
      </c>
      <c r="E100" s="4"/>
      <c r="F100" s="65">
        <v>17963</v>
      </c>
      <c r="G100" s="4" t="s">
        <v>797</v>
      </c>
      <c r="H100" s="10"/>
      <c r="I100" s="3" t="s">
        <v>515</v>
      </c>
      <c r="J100" s="168"/>
      <c r="K100" s="3"/>
    </row>
    <row r="101" spans="2:11">
      <c r="B101" s="3">
        <v>98</v>
      </c>
      <c r="C101" s="4" t="s">
        <v>756</v>
      </c>
      <c r="D101" s="57">
        <v>16112138</v>
      </c>
      <c r="E101" s="4"/>
      <c r="F101" s="65" t="s">
        <v>859</v>
      </c>
      <c r="G101" s="4" t="s">
        <v>626</v>
      </c>
      <c r="H101" s="10"/>
      <c r="I101" s="3" t="s">
        <v>33</v>
      </c>
      <c r="J101" s="168">
        <v>46000</v>
      </c>
      <c r="K101" s="3" t="s">
        <v>653</v>
      </c>
    </row>
    <row r="102" spans="2:11">
      <c r="B102" s="3">
        <v>99</v>
      </c>
      <c r="C102" s="4" t="s">
        <v>229</v>
      </c>
      <c r="D102" s="57">
        <v>16112139</v>
      </c>
      <c r="E102" s="4"/>
      <c r="F102" s="65">
        <v>18258</v>
      </c>
      <c r="G102" s="4" t="s">
        <v>865</v>
      </c>
      <c r="H102" s="10"/>
      <c r="I102" s="3" t="s">
        <v>866</v>
      </c>
      <c r="J102" s="168">
        <v>46013</v>
      </c>
      <c r="K102" s="3"/>
    </row>
    <row r="103" spans="2:11">
      <c r="B103" s="3">
        <v>100</v>
      </c>
      <c r="C103" s="4"/>
      <c r="D103" s="57">
        <v>16112140</v>
      </c>
      <c r="E103" s="4"/>
      <c r="F103" s="65"/>
      <c r="G103" s="4"/>
      <c r="H103" s="10"/>
      <c r="I103" s="3"/>
      <c r="J103" s="168"/>
      <c r="K103" s="3"/>
    </row>
    <row r="104" spans="2:11">
      <c r="B104" s="3">
        <v>101</v>
      </c>
      <c r="C104" s="4"/>
      <c r="D104" s="57">
        <v>16112141</v>
      </c>
      <c r="E104" s="4"/>
      <c r="F104" s="65"/>
      <c r="G104" s="4"/>
      <c r="H104" s="10"/>
      <c r="I104" s="3"/>
      <c r="J104" s="168"/>
      <c r="K104" s="3"/>
    </row>
    <row r="105" spans="2:11">
      <c r="B105" s="3">
        <v>102</v>
      </c>
      <c r="C105" s="4"/>
      <c r="D105" s="57">
        <v>16112142</v>
      </c>
      <c r="E105" s="4"/>
      <c r="F105" s="65"/>
      <c r="G105" s="4"/>
      <c r="H105" s="10"/>
      <c r="I105" s="3"/>
      <c r="J105" s="168"/>
      <c r="K105" s="3"/>
    </row>
    <row r="106" spans="2:11">
      <c r="B106" s="3">
        <v>103</v>
      </c>
      <c r="C106" s="4"/>
      <c r="D106" s="57">
        <v>16112143</v>
      </c>
      <c r="E106" s="4"/>
      <c r="F106" s="65"/>
      <c r="G106" s="4"/>
      <c r="H106" s="10"/>
      <c r="I106" s="3"/>
      <c r="J106" s="168"/>
      <c r="K106" s="3"/>
    </row>
    <row r="107" spans="2:11">
      <c r="B107" s="3">
        <v>104</v>
      </c>
      <c r="C107" s="4"/>
      <c r="D107" s="57">
        <v>16112144</v>
      </c>
      <c r="E107" s="4"/>
      <c r="F107" s="65"/>
      <c r="G107" s="4"/>
      <c r="H107" s="10"/>
      <c r="I107" s="3"/>
      <c r="J107" s="168"/>
      <c r="K107" s="3"/>
    </row>
    <row r="108" spans="2:11">
      <c r="B108" s="3"/>
      <c r="C108" s="4"/>
      <c r="D108" s="57">
        <v>16112145</v>
      </c>
      <c r="E108" s="4"/>
      <c r="F108" s="65"/>
      <c r="G108" s="4"/>
      <c r="H108" s="10"/>
      <c r="I108" s="3"/>
      <c r="J108" s="168"/>
      <c r="K108" s="3"/>
    </row>
    <row r="109" spans="2:11">
      <c r="B109" s="3"/>
      <c r="C109" s="4"/>
      <c r="D109" s="3"/>
      <c r="E109" s="4"/>
      <c r="F109" s="65"/>
      <c r="G109" s="4"/>
      <c r="H109" s="10"/>
      <c r="I109" s="3"/>
      <c r="J109" s="168"/>
      <c r="K109" s="3"/>
    </row>
  </sheetData>
  <autoFilter ref="A3:K5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77" priority="1" operator="containsText" text="見積！">
      <formula>NOT(ISERROR(SEARCH("見積！",A1)))</formula>
    </cfRule>
  </conditionalFormatting>
  <conditionalFormatting sqref="A4:A1048576">
    <cfRule type="containsText" dxfId="76" priority="4" operator="containsText" text="着手">
      <formula>NOT(ISERROR(SEARCH("着手",A4)))</formula>
    </cfRule>
    <cfRule type="containsText" dxfId="75" priority="5" operator="containsText" text="見積完了">
      <formula>NOT(ISERROR(SEARCH("見積完了",A4)))</formula>
    </cfRule>
    <cfRule type="containsText" dxfId="74" priority="6" operator="containsText" text="中止">
      <formula>NOT(ISERROR(SEARCH("中止",A4)))</formula>
    </cfRule>
    <cfRule type="containsText" dxfId="73" priority="7" operator="containsText" text="保留">
      <formula>NOT(ISERROR(SEARCH("保留",A4)))</formula>
    </cfRule>
    <cfRule type="containsText" dxfId="72" priority="8" operator="containsText" text="進行中">
      <formula>NOT(ISERROR(SEARCH("進行中",A4)))</formula>
    </cfRule>
    <cfRule type="containsText" dxfId="71" priority="9" operator="containsText" text="完了">
      <formula>NOT(ISERROR(SEARCH("完了",A4)))</formula>
    </cfRule>
  </conditionalFormatting>
  <dataValidations count="2">
    <dataValidation imeMode="on" allowBlank="1" showInputMessage="1" showErrorMessage="1" sqref="A2 G2:G1048576 K1:L1048576 I1:I1048576 C1:C1048576" xr:uid="{E30FC8FA-91E7-401B-98C1-3A148F4BF6C8}"/>
    <dataValidation imeMode="off" allowBlank="1" showInputMessage="1" showErrorMessage="1" sqref="G1 J1:J1048576 H1:H1048576 B1:B1048576 D1:F1048576" xr:uid="{A406CA23-E871-4445-B622-18265D0C30CC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22A974-4178-4004-B520-0747C6BB69F2}">
          <x14:formula1>
            <xm:f>タスク!$B$3:$B$14</xm:f>
          </x14:formula1>
          <xm:sqref>A4:A1048576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30D0-F15B-4AA2-A35C-6CB2426150BA}">
  <sheetPr codeName="Sheet17">
    <pageSetUpPr fitToPage="1"/>
  </sheetPr>
  <dimension ref="A1:M50"/>
  <sheetViews>
    <sheetView zoomScale="130" zoomScaleNormal="130" workbookViewId="0">
      <pane ySplit="3" topLeftCell="A5" activePane="bottomLeft" state="frozen"/>
      <selection activeCell="C12" sqref="C12"/>
      <selection pane="bottomLeft" activeCell="A15" sqref="A3:XFD15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265</v>
      </c>
      <c r="D4" s="3">
        <v>16115009</v>
      </c>
      <c r="E4" s="4"/>
      <c r="F4" s="65">
        <v>9163</v>
      </c>
      <c r="G4" s="4" t="s">
        <v>266</v>
      </c>
      <c r="H4" s="10"/>
      <c r="I4" s="3" t="s">
        <v>80</v>
      </c>
      <c r="J4" s="1">
        <v>45021</v>
      </c>
      <c r="K4" s="3" t="s">
        <v>34</v>
      </c>
    </row>
    <row r="5" spans="1:13" hidden="1">
      <c r="A5" s="17" t="s">
        <v>28</v>
      </c>
      <c r="B5" s="3">
        <v>2</v>
      </c>
      <c r="C5" s="4" t="s">
        <v>265</v>
      </c>
      <c r="D5" s="3">
        <v>16115010</v>
      </c>
      <c r="E5" s="4"/>
      <c r="F5" s="65">
        <v>9554</v>
      </c>
      <c r="G5" s="4" t="s">
        <v>266</v>
      </c>
      <c r="H5" s="10"/>
      <c r="I5" s="3" t="s">
        <v>82</v>
      </c>
      <c r="J5" s="1">
        <v>45062</v>
      </c>
      <c r="K5" s="3" t="s">
        <v>34</v>
      </c>
    </row>
    <row r="6" spans="1:13" hidden="1">
      <c r="A6" s="17" t="s">
        <v>28</v>
      </c>
      <c r="B6" s="3">
        <v>3</v>
      </c>
      <c r="C6" s="4" t="s">
        <v>265</v>
      </c>
      <c r="D6" s="3">
        <v>16115011</v>
      </c>
      <c r="E6" s="4"/>
      <c r="F6" s="65">
        <v>9629</v>
      </c>
      <c r="G6" s="4" t="s">
        <v>266</v>
      </c>
      <c r="H6" s="10"/>
      <c r="I6" s="3" t="s">
        <v>54</v>
      </c>
      <c r="J6" s="1">
        <v>45078</v>
      </c>
      <c r="K6" s="3" t="s">
        <v>34</v>
      </c>
    </row>
    <row r="7" spans="1:13" hidden="1">
      <c r="A7" s="17" t="s">
        <v>28</v>
      </c>
      <c r="B7" s="3">
        <v>4</v>
      </c>
      <c r="C7" s="4" t="s">
        <v>265</v>
      </c>
      <c r="D7" s="3">
        <v>16115012</v>
      </c>
      <c r="E7" s="4"/>
      <c r="F7" s="65">
        <v>9959</v>
      </c>
      <c r="G7" s="4" t="s">
        <v>266</v>
      </c>
      <c r="H7" s="10"/>
      <c r="I7" s="3" t="s">
        <v>56</v>
      </c>
      <c r="J7" s="1">
        <v>45119</v>
      </c>
      <c r="K7" s="3" t="s">
        <v>34</v>
      </c>
    </row>
    <row r="8" spans="1:13" hidden="1">
      <c r="A8" s="17" t="s">
        <v>28</v>
      </c>
      <c r="B8" s="3">
        <v>5</v>
      </c>
      <c r="C8" s="4" t="s">
        <v>265</v>
      </c>
      <c r="D8" s="3">
        <v>16115013</v>
      </c>
      <c r="E8" s="4"/>
      <c r="F8" s="65">
        <v>10231</v>
      </c>
      <c r="G8" s="4" t="s">
        <v>266</v>
      </c>
      <c r="H8" s="10"/>
      <c r="I8" s="3" t="s">
        <v>84</v>
      </c>
      <c r="J8" s="1">
        <v>45148</v>
      </c>
      <c r="K8" s="3" t="s">
        <v>34</v>
      </c>
    </row>
    <row r="9" spans="1:13" hidden="1">
      <c r="A9" s="17" t="s">
        <v>28</v>
      </c>
      <c r="B9" s="3">
        <v>6</v>
      </c>
      <c r="C9" s="4" t="s">
        <v>265</v>
      </c>
      <c r="D9" s="3">
        <v>16115014</v>
      </c>
      <c r="E9" s="4"/>
      <c r="F9" s="65">
        <v>10482</v>
      </c>
      <c r="G9" s="4" t="s">
        <v>266</v>
      </c>
      <c r="H9" s="10"/>
      <c r="I9" s="3" t="s">
        <v>474</v>
      </c>
      <c r="J9" s="1">
        <v>45167</v>
      </c>
      <c r="K9" s="3" t="s">
        <v>34</v>
      </c>
    </row>
    <row r="10" spans="1:13" hidden="1">
      <c r="A10" s="17" t="s">
        <v>28</v>
      </c>
      <c r="B10" s="3">
        <v>7</v>
      </c>
      <c r="C10" s="4" t="s">
        <v>265</v>
      </c>
      <c r="D10" s="3">
        <v>16115015</v>
      </c>
      <c r="E10" s="4"/>
      <c r="F10" s="65">
        <v>10853</v>
      </c>
      <c r="G10" s="4" t="s">
        <v>266</v>
      </c>
      <c r="H10" s="10"/>
      <c r="I10" s="3" t="s">
        <v>47</v>
      </c>
      <c r="J10" s="1">
        <v>45198</v>
      </c>
      <c r="K10" s="3" t="s">
        <v>477</v>
      </c>
    </row>
    <row r="11" spans="1:13" hidden="1">
      <c r="A11" s="149" t="s">
        <v>28</v>
      </c>
      <c r="B11" s="150">
        <v>8</v>
      </c>
      <c r="C11" s="151" t="s">
        <v>265</v>
      </c>
      <c r="D11" s="150">
        <v>16115016</v>
      </c>
      <c r="E11" s="151"/>
      <c r="F11" s="153">
        <v>11092</v>
      </c>
      <c r="G11" s="151" t="s">
        <v>266</v>
      </c>
      <c r="H11" s="154"/>
      <c r="I11" s="150" t="s">
        <v>48</v>
      </c>
      <c r="J11" s="155">
        <v>45236</v>
      </c>
      <c r="K11" s="150" t="s">
        <v>477</v>
      </c>
    </row>
    <row r="12" spans="1:13" hidden="1">
      <c r="A12" s="3" t="s">
        <v>28</v>
      </c>
      <c r="B12" s="3">
        <v>9</v>
      </c>
      <c r="C12" s="4" t="s">
        <v>265</v>
      </c>
      <c r="D12" s="3">
        <v>16115017</v>
      </c>
      <c r="E12" s="4"/>
      <c r="F12" s="65" t="s">
        <v>514</v>
      </c>
      <c r="G12" s="4" t="s">
        <v>266</v>
      </c>
      <c r="H12" s="10"/>
      <c r="I12" s="3" t="s">
        <v>515</v>
      </c>
      <c r="J12" s="1">
        <v>45275</v>
      </c>
      <c r="K12" s="3" t="s">
        <v>477</v>
      </c>
      <c r="L12" s="4"/>
    </row>
    <row r="13" spans="1:13" hidden="1">
      <c r="A13" s="3"/>
      <c r="B13" s="3">
        <v>10</v>
      </c>
      <c r="C13" s="4" t="s">
        <v>265</v>
      </c>
      <c r="D13" s="3">
        <v>16115018</v>
      </c>
      <c r="E13" s="4"/>
      <c r="F13" s="65" t="s">
        <v>516</v>
      </c>
      <c r="G13" s="4" t="s">
        <v>517</v>
      </c>
      <c r="H13" s="10"/>
      <c r="I13" s="3" t="s">
        <v>515</v>
      </c>
      <c r="J13" s="1">
        <v>45278</v>
      </c>
      <c r="K13" s="3" t="s">
        <v>477</v>
      </c>
      <c r="L13" s="4"/>
    </row>
    <row r="14" spans="1:13" hidden="1">
      <c r="A14" s="3"/>
      <c r="B14" s="3">
        <v>11</v>
      </c>
      <c r="C14" s="4" t="s">
        <v>265</v>
      </c>
      <c r="D14" s="3">
        <v>16115019</v>
      </c>
      <c r="E14" s="4"/>
      <c r="F14" s="65">
        <v>11693</v>
      </c>
      <c r="G14" s="4" t="s">
        <v>266</v>
      </c>
      <c r="H14" s="10"/>
      <c r="I14" s="3" t="s">
        <v>519</v>
      </c>
      <c r="J14" s="1">
        <v>45287</v>
      </c>
      <c r="K14" s="3" t="s">
        <v>477</v>
      </c>
      <c r="L14" s="4"/>
    </row>
    <row r="15" spans="1:13">
      <c r="A15" s="3"/>
      <c r="B15" s="3">
        <v>12</v>
      </c>
      <c r="C15" s="4" t="s">
        <v>265</v>
      </c>
      <c r="D15" s="3">
        <v>16115020</v>
      </c>
      <c r="E15" s="4"/>
      <c r="F15" s="65">
        <v>11698</v>
      </c>
      <c r="G15" s="4" t="s">
        <v>517</v>
      </c>
      <c r="H15" s="10"/>
      <c r="I15" s="3" t="s">
        <v>519</v>
      </c>
      <c r="J15" s="1">
        <v>45287</v>
      </c>
      <c r="K15" s="3" t="s">
        <v>477</v>
      </c>
      <c r="L15" s="4"/>
    </row>
    <row r="16" spans="1:13">
      <c r="A16" s="3"/>
      <c r="B16" s="3">
        <v>13</v>
      </c>
      <c r="C16" s="4" t="s">
        <v>265</v>
      </c>
      <c r="D16" s="3">
        <v>16115021</v>
      </c>
      <c r="E16" s="4"/>
      <c r="F16" s="65">
        <v>11930</v>
      </c>
      <c r="G16" s="4" t="s">
        <v>517</v>
      </c>
      <c r="H16" s="10"/>
      <c r="I16" s="3" t="s">
        <v>74</v>
      </c>
      <c r="J16" s="1">
        <v>45323</v>
      </c>
      <c r="K16" s="3" t="s">
        <v>477</v>
      </c>
      <c r="L16" s="4"/>
    </row>
    <row r="17" spans="1:12">
      <c r="A17" s="3"/>
      <c r="B17" s="3">
        <v>14</v>
      </c>
      <c r="C17" s="4" t="s">
        <v>265</v>
      </c>
      <c r="D17" s="3">
        <v>16115022</v>
      </c>
      <c r="E17" s="4"/>
      <c r="F17" s="65">
        <v>12190</v>
      </c>
      <c r="G17" s="4" t="s">
        <v>517</v>
      </c>
      <c r="H17" s="10"/>
      <c r="I17" s="3" t="s">
        <v>79</v>
      </c>
      <c r="J17" s="1">
        <v>45349</v>
      </c>
      <c r="K17" s="3" t="s">
        <v>477</v>
      </c>
      <c r="L17" s="4"/>
    </row>
    <row r="18" spans="1:12">
      <c r="A18" s="3"/>
      <c r="B18" s="3">
        <v>15</v>
      </c>
      <c r="C18" s="4" t="s">
        <v>265</v>
      </c>
      <c r="D18" s="3">
        <v>16115023</v>
      </c>
      <c r="E18" s="4"/>
      <c r="F18" s="65" t="s">
        <v>599</v>
      </c>
      <c r="G18" s="4" t="s">
        <v>517</v>
      </c>
      <c r="H18" s="10"/>
      <c r="I18" s="3" t="s">
        <v>82</v>
      </c>
      <c r="J18" s="1">
        <v>45407</v>
      </c>
      <c r="K18" s="3" t="s">
        <v>477</v>
      </c>
      <c r="L18" s="4"/>
    </row>
    <row r="19" spans="1:12">
      <c r="A19" s="3"/>
      <c r="B19" s="3">
        <v>16</v>
      </c>
      <c r="C19" s="4" t="s">
        <v>601</v>
      </c>
      <c r="D19" s="3">
        <v>16115024</v>
      </c>
      <c r="E19" s="4"/>
      <c r="F19" s="65" t="s">
        <v>602</v>
      </c>
      <c r="G19" s="4" t="s">
        <v>517</v>
      </c>
      <c r="H19" s="10"/>
      <c r="I19" s="3" t="s">
        <v>54</v>
      </c>
      <c r="J19" s="1">
        <v>45432</v>
      </c>
      <c r="K19" s="3" t="s">
        <v>477</v>
      </c>
      <c r="L19" s="4"/>
    </row>
    <row r="20" spans="1:12">
      <c r="A20" s="3"/>
      <c r="B20" s="3">
        <v>17</v>
      </c>
      <c r="C20" s="4" t="s">
        <v>601</v>
      </c>
      <c r="D20" s="3">
        <v>16115025</v>
      </c>
      <c r="E20" s="4"/>
      <c r="F20" s="65">
        <v>13272</v>
      </c>
      <c r="G20" s="4" t="s">
        <v>517</v>
      </c>
      <c r="H20" s="10"/>
      <c r="I20" s="3" t="s">
        <v>639</v>
      </c>
      <c r="J20" s="161">
        <v>45470</v>
      </c>
      <c r="K20" s="3" t="s">
        <v>477</v>
      </c>
      <c r="L20" s="4"/>
    </row>
    <row r="21" spans="1:12">
      <c r="A21" s="3"/>
      <c r="B21" s="3">
        <v>18</v>
      </c>
      <c r="C21" s="4" t="s">
        <v>601</v>
      </c>
      <c r="D21" s="3">
        <v>16115026</v>
      </c>
      <c r="E21" s="4"/>
      <c r="F21" s="65">
        <v>13767</v>
      </c>
      <c r="G21" s="4" t="s">
        <v>517</v>
      </c>
      <c r="H21" s="10"/>
      <c r="I21" s="3" t="s">
        <v>85</v>
      </c>
      <c r="J21" s="156" t="s">
        <v>649</v>
      </c>
      <c r="K21" s="150" t="s">
        <v>477</v>
      </c>
      <c r="L21" s="4"/>
    </row>
    <row r="22" spans="1:12">
      <c r="A22" s="3"/>
      <c r="B22" s="3">
        <v>19</v>
      </c>
      <c r="C22" s="4" t="s">
        <v>601</v>
      </c>
      <c r="D22" s="3">
        <v>16115027</v>
      </c>
      <c r="E22" s="4"/>
      <c r="F22" s="65">
        <v>14031</v>
      </c>
      <c r="G22" s="4" t="s">
        <v>517</v>
      </c>
      <c r="H22" s="10"/>
      <c r="I22" s="3" t="s">
        <v>478</v>
      </c>
      <c r="J22" s="156" t="s">
        <v>657</v>
      </c>
      <c r="K22" s="150" t="s">
        <v>653</v>
      </c>
      <c r="L22" s="4"/>
    </row>
    <row r="23" spans="1:12">
      <c r="A23" s="3"/>
      <c r="B23" s="3">
        <v>20</v>
      </c>
      <c r="C23" s="4" t="s">
        <v>601</v>
      </c>
      <c r="D23" s="3">
        <v>16115028</v>
      </c>
      <c r="E23" s="4"/>
      <c r="F23" s="65">
        <v>14309</v>
      </c>
      <c r="G23" s="4" t="s">
        <v>517</v>
      </c>
      <c r="H23" s="10"/>
      <c r="I23" s="3" t="s">
        <v>662</v>
      </c>
      <c r="J23" s="12" t="s">
        <v>663</v>
      </c>
      <c r="K23" s="3" t="s">
        <v>653</v>
      </c>
      <c r="L23" s="4"/>
    </row>
    <row r="24" spans="1:12">
      <c r="A24" s="3"/>
      <c r="B24" s="3">
        <v>21</v>
      </c>
      <c r="C24" s="4" t="s">
        <v>601</v>
      </c>
      <c r="D24" s="3">
        <v>16115029</v>
      </c>
      <c r="E24" s="4"/>
      <c r="F24" s="65">
        <v>14480</v>
      </c>
      <c r="G24" s="4" t="s">
        <v>517</v>
      </c>
      <c r="H24" s="10"/>
      <c r="I24" s="3" t="s">
        <v>515</v>
      </c>
      <c r="J24" s="12" t="s">
        <v>672</v>
      </c>
      <c r="K24" s="3" t="s">
        <v>653</v>
      </c>
      <c r="L24" s="4"/>
    </row>
    <row r="25" spans="1:12">
      <c r="A25" s="3"/>
      <c r="B25" s="3">
        <v>22</v>
      </c>
      <c r="C25" s="4" t="s">
        <v>601</v>
      </c>
      <c r="D25" s="3">
        <v>16115030</v>
      </c>
      <c r="E25" s="4"/>
      <c r="F25" s="65">
        <v>14760</v>
      </c>
      <c r="G25" s="4" t="s">
        <v>517</v>
      </c>
      <c r="H25" s="10"/>
      <c r="I25" s="3" t="s">
        <v>33</v>
      </c>
      <c r="J25" s="144">
        <v>45645</v>
      </c>
      <c r="K25" s="3" t="s">
        <v>653</v>
      </c>
      <c r="L25" s="4"/>
    </row>
    <row r="26" spans="1:12">
      <c r="A26" s="3"/>
      <c r="B26" s="3">
        <v>23</v>
      </c>
      <c r="C26" s="4" t="s">
        <v>601</v>
      </c>
      <c r="D26" s="3">
        <v>16115031</v>
      </c>
      <c r="E26" s="4"/>
      <c r="F26" s="65">
        <v>15103</v>
      </c>
      <c r="G26" s="4" t="s">
        <v>517</v>
      </c>
      <c r="H26" s="10"/>
      <c r="I26" s="3" t="s">
        <v>518</v>
      </c>
      <c r="J26" s="144" t="s">
        <v>692</v>
      </c>
      <c r="K26" s="3" t="s">
        <v>653</v>
      </c>
      <c r="L26" s="4"/>
    </row>
    <row r="27" spans="1:12">
      <c r="A27" s="3"/>
      <c r="B27" s="3">
        <v>24</v>
      </c>
      <c r="C27" s="4" t="s">
        <v>601</v>
      </c>
      <c r="D27" s="3">
        <v>16115032</v>
      </c>
      <c r="E27" s="4"/>
      <c r="F27" s="65">
        <v>15224</v>
      </c>
      <c r="G27" s="4" t="s">
        <v>517</v>
      </c>
      <c r="H27" s="10"/>
      <c r="I27" s="3" t="s">
        <v>217</v>
      </c>
      <c r="J27" s="144" t="s">
        <v>699</v>
      </c>
      <c r="K27" s="3" t="s">
        <v>653</v>
      </c>
      <c r="L27" s="4"/>
    </row>
    <row r="28" spans="1:12">
      <c r="A28" s="3"/>
      <c r="B28" s="3">
        <v>25</v>
      </c>
      <c r="C28" s="4" t="s">
        <v>601</v>
      </c>
      <c r="D28" s="3">
        <v>16115033</v>
      </c>
      <c r="E28" s="4"/>
      <c r="F28" s="65" t="s">
        <v>716</v>
      </c>
      <c r="G28" s="4" t="s">
        <v>517</v>
      </c>
      <c r="H28" s="10"/>
      <c r="I28" s="3" t="s">
        <v>714</v>
      </c>
      <c r="J28" s="168">
        <v>45743</v>
      </c>
      <c r="K28" s="3" t="s">
        <v>715</v>
      </c>
      <c r="L28" s="4"/>
    </row>
    <row r="29" spans="1:12">
      <c r="A29" s="3"/>
      <c r="B29" s="3">
        <v>26</v>
      </c>
      <c r="C29" s="4"/>
      <c r="D29" s="3">
        <v>16115034</v>
      </c>
      <c r="E29" s="4"/>
      <c r="F29" s="65"/>
      <c r="G29" s="4"/>
      <c r="H29" s="10"/>
      <c r="I29" s="3"/>
      <c r="J29" s="3"/>
      <c r="K29" s="3"/>
      <c r="L29" s="4"/>
    </row>
    <row r="30" spans="1:12">
      <c r="A30" s="3"/>
      <c r="B30" s="3">
        <v>27</v>
      </c>
      <c r="C30" s="4"/>
      <c r="D30" s="3">
        <v>16115035</v>
      </c>
      <c r="E30" s="4"/>
      <c r="F30" s="65"/>
      <c r="G30" s="4"/>
      <c r="H30" s="10"/>
      <c r="I30" s="3"/>
      <c r="J30" s="3"/>
      <c r="K30" s="3"/>
      <c r="L30" s="4"/>
    </row>
    <row r="31" spans="1:12">
      <c r="A31" s="3"/>
      <c r="B31" s="3">
        <v>28</v>
      </c>
      <c r="C31" s="4"/>
      <c r="D31" s="3">
        <v>16115036</v>
      </c>
      <c r="E31" s="4"/>
      <c r="F31" s="65"/>
      <c r="G31" s="4"/>
      <c r="H31" s="10"/>
      <c r="I31" s="3"/>
      <c r="J31" s="3"/>
      <c r="K31" s="3"/>
      <c r="L31" s="4"/>
    </row>
    <row r="32" spans="1:12">
      <c r="A32" s="3"/>
      <c r="B32" s="3">
        <v>29</v>
      </c>
      <c r="C32" s="4"/>
      <c r="D32" s="3">
        <v>16115037</v>
      </c>
      <c r="E32" s="4"/>
      <c r="F32" s="65"/>
      <c r="G32" s="4"/>
      <c r="H32" s="10"/>
      <c r="I32" s="3"/>
      <c r="J32" s="3"/>
      <c r="K32" s="3"/>
      <c r="L32" s="4"/>
    </row>
    <row r="33" spans="1:12">
      <c r="A33" s="3"/>
      <c r="B33" s="3">
        <v>30</v>
      </c>
      <c r="C33" s="4"/>
      <c r="D33" s="3">
        <v>16115038</v>
      </c>
      <c r="E33" s="4"/>
      <c r="F33" s="65"/>
      <c r="G33" s="4"/>
      <c r="H33" s="10"/>
      <c r="I33" s="3"/>
      <c r="J33" s="3"/>
      <c r="K33" s="3"/>
      <c r="L33" s="4"/>
    </row>
    <row r="34" spans="1:12">
      <c r="A34" s="3"/>
      <c r="B34" s="3">
        <v>31</v>
      </c>
      <c r="C34" s="4"/>
      <c r="D34" s="3">
        <v>16115039</v>
      </c>
      <c r="E34" s="4"/>
      <c r="F34" s="65"/>
      <c r="G34" s="4"/>
      <c r="H34" s="10"/>
      <c r="I34" s="3"/>
      <c r="J34" s="3"/>
      <c r="K34" s="3"/>
      <c r="L34" s="4"/>
    </row>
    <row r="35" spans="1:12">
      <c r="A35" s="3"/>
      <c r="B35" s="3">
        <v>32</v>
      </c>
      <c r="C35" s="4"/>
      <c r="D35" s="3">
        <v>16115040</v>
      </c>
      <c r="E35" s="4"/>
      <c r="F35" s="65"/>
      <c r="G35" s="4"/>
      <c r="H35" s="10"/>
      <c r="I35" s="3"/>
      <c r="J35" s="3"/>
      <c r="K35" s="3"/>
      <c r="L35" s="4"/>
    </row>
    <row r="36" spans="1:12">
      <c r="A36" s="3"/>
      <c r="B36" s="3">
        <v>33</v>
      </c>
      <c r="C36" s="4"/>
      <c r="D36" s="3">
        <v>16115041</v>
      </c>
      <c r="E36" s="4"/>
      <c r="F36" s="65"/>
      <c r="G36" s="4"/>
      <c r="H36" s="10"/>
      <c r="I36" s="3"/>
      <c r="J36" s="3"/>
      <c r="K36" s="3"/>
      <c r="L36" s="4"/>
    </row>
    <row r="37" spans="1:12">
      <c r="A37" s="3"/>
      <c r="B37" s="3">
        <v>34</v>
      </c>
      <c r="C37" s="4"/>
      <c r="D37" s="3">
        <v>16115042</v>
      </c>
      <c r="E37" s="4"/>
      <c r="F37" s="65"/>
      <c r="G37" s="4"/>
      <c r="H37" s="10"/>
      <c r="I37" s="3"/>
      <c r="J37" s="3"/>
      <c r="K37" s="3"/>
      <c r="L37" s="4"/>
    </row>
    <row r="38" spans="1:12">
      <c r="A38" s="3"/>
      <c r="B38" s="3">
        <v>35</v>
      </c>
      <c r="C38" s="4"/>
      <c r="D38" s="3">
        <v>16115043</v>
      </c>
      <c r="E38" s="4"/>
      <c r="F38" s="65"/>
      <c r="G38" s="4"/>
      <c r="H38" s="10"/>
      <c r="I38" s="3"/>
      <c r="J38" s="3"/>
      <c r="K38" s="3"/>
      <c r="L38" s="4"/>
    </row>
    <row r="39" spans="1:12">
      <c r="A39" s="3"/>
      <c r="B39" s="3">
        <v>36</v>
      </c>
      <c r="C39" s="4"/>
      <c r="D39" s="3">
        <v>16115044</v>
      </c>
      <c r="E39" s="4"/>
      <c r="F39" s="65"/>
      <c r="G39" s="4"/>
      <c r="H39" s="10"/>
      <c r="I39" s="3"/>
      <c r="J39" s="3"/>
      <c r="K39" s="3"/>
      <c r="L39" s="4"/>
    </row>
    <row r="40" spans="1:12">
      <c r="A40" s="3"/>
      <c r="B40" s="3">
        <v>37</v>
      </c>
      <c r="C40" s="4"/>
      <c r="D40" s="3">
        <v>16115045</v>
      </c>
      <c r="E40" s="4"/>
      <c r="F40" s="65"/>
      <c r="G40" s="4"/>
      <c r="H40" s="10"/>
      <c r="I40" s="3"/>
      <c r="J40" s="3"/>
      <c r="K40" s="3"/>
      <c r="L40" s="4"/>
    </row>
    <row r="41" spans="1:12">
      <c r="A41" s="3"/>
      <c r="B41" s="3">
        <v>38</v>
      </c>
      <c r="C41" s="4"/>
      <c r="D41" s="3">
        <v>16115046</v>
      </c>
      <c r="E41" s="4"/>
      <c r="F41" s="65"/>
      <c r="G41" s="4"/>
      <c r="H41" s="10"/>
      <c r="I41" s="3"/>
      <c r="J41" s="3"/>
      <c r="K41" s="3"/>
      <c r="L41" s="4"/>
    </row>
    <row r="42" spans="1:12">
      <c r="A42" s="3"/>
      <c r="B42" s="3">
        <v>39</v>
      </c>
      <c r="C42" s="4"/>
      <c r="D42" s="3">
        <v>16115047</v>
      </c>
      <c r="E42" s="4"/>
      <c r="F42" s="65"/>
      <c r="G42" s="4"/>
      <c r="H42" s="10"/>
      <c r="I42" s="3"/>
      <c r="J42" s="3"/>
      <c r="K42" s="3"/>
      <c r="L42" s="4"/>
    </row>
    <row r="43" spans="1:12">
      <c r="A43" s="3"/>
      <c r="B43" s="3">
        <v>40</v>
      </c>
      <c r="C43" s="4"/>
      <c r="D43" s="3">
        <v>16115048</v>
      </c>
      <c r="E43" s="4"/>
      <c r="F43" s="65"/>
      <c r="G43" s="4"/>
      <c r="H43" s="10"/>
      <c r="I43" s="3"/>
      <c r="J43" s="3"/>
      <c r="K43" s="3"/>
      <c r="L43" s="4"/>
    </row>
    <row r="44" spans="1:12">
      <c r="A44" s="3"/>
      <c r="B44" s="3">
        <v>41</v>
      </c>
      <c r="C44" s="4"/>
      <c r="D44" s="3">
        <v>16115049</v>
      </c>
      <c r="E44" s="4"/>
      <c r="F44" s="65"/>
      <c r="G44" s="4"/>
      <c r="H44" s="10"/>
      <c r="I44" s="3"/>
      <c r="J44" s="3"/>
      <c r="K44" s="3"/>
      <c r="L44" s="4"/>
    </row>
    <row r="45" spans="1:12">
      <c r="A45" s="3"/>
      <c r="B45" s="3">
        <v>42</v>
      </c>
      <c r="C45" s="4"/>
      <c r="D45" s="3">
        <v>16115050</v>
      </c>
      <c r="E45" s="4"/>
      <c r="F45" s="65"/>
      <c r="G45" s="4"/>
      <c r="H45" s="10"/>
      <c r="I45" s="3"/>
      <c r="J45" s="3"/>
      <c r="K45" s="3"/>
      <c r="L45" s="4"/>
    </row>
    <row r="46" spans="1:12">
      <c r="A46" s="3"/>
      <c r="B46" s="3">
        <v>43</v>
      </c>
      <c r="C46" s="4"/>
      <c r="D46" s="3">
        <v>16115051</v>
      </c>
      <c r="E46" s="4"/>
      <c r="F46" s="65"/>
      <c r="G46" s="4"/>
      <c r="H46" s="10"/>
      <c r="I46" s="3"/>
      <c r="J46" s="3"/>
      <c r="K46" s="3"/>
      <c r="L46" s="4"/>
    </row>
    <row r="47" spans="1:12">
      <c r="A47" s="3"/>
      <c r="B47" s="3">
        <v>44</v>
      </c>
      <c r="C47" s="4"/>
      <c r="D47" s="3">
        <v>16115052</v>
      </c>
      <c r="E47" s="4"/>
      <c r="F47" s="65"/>
      <c r="G47" s="4"/>
      <c r="H47" s="10"/>
      <c r="I47" s="3"/>
      <c r="J47" s="3"/>
      <c r="K47" s="3"/>
      <c r="L47" s="4"/>
    </row>
    <row r="48" spans="1:12">
      <c r="A48" s="3"/>
      <c r="B48" s="3">
        <v>45</v>
      </c>
      <c r="C48" s="4"/>
      <c r="D48" s="3">
        <v>16115053</v>
      </c>
      <c r="E48" s="4"/>
      <c r="F48" s="65"/>
      <c r="G48" s="4"/>
      <c r="H48" s="10"/>
      <c r="I48" s="3"/>
      <c r="J48" s="3"/>
      <c r="K48" s="3"/>
      <c r="L48" s="4"/>
    </row>
    <row r="49" spans="1:12">
      <c r="A49" s="3"/>
      <c r="B49" s="3">
        <v>46</v>
      </c>
      <c r="C49" s="4"/>
      <c r="D49" s="3">
        <v>16115054</v>
      </c>
      <c r="E49" s="4"/>
      <c r="F49" s="65"/>
      <c r="G49" s="4"/>
      <c r="H49" s="10"/>
      <c r="I49" s="3"/>
      <c r="J49" s="3"/>
      <c r="K49" s="3"/>
      <c r="L49" s="4"/>
    </row>
    <row r="50" spans="1:12">
      <c r="A50" s="3"/>
      <c r="B50" s="3">
        <v>47</v>
      </c>
      <c r="C50" s="4"/>
      <c r="D50" s="3">
        <v>16115055</v>
      </c>
      <c r="E50" s="4"/>
      <c r="F50" s="65"/>
      <c r="G50" s="4"/>
      <c r="H50" s="10"/>
      <c r="I50" s="3"/>
      <c r="J50" s="3"/>
      <c r="K50" s="3"/>
      <c r="L5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70" priority="1" operator="containsText" text="見積！">
      <formula>NOT(ISERROR(SEARCH("見積！",A1)))</formula>
    </cfRule>
  </conditionalFormatting>
  <conditionalFormatting sqref="A4:A1048576">
    <cfRule type="containsText" dxfId="69" priority="2" operator="containsText" text="着手">
      <formula>NOT(ISERROR(SEARCH("着手",A4)))</formula>
    </cfRule>
    <cfRule type="containsText" dxfId="68" priority="3" operator="containsText" text="見積完了">
      <formula>NOT(ISERROR(SEARCH("見積完了",A4)))</formula>
    </cfRule>
    <cfRule type="containsText" dxfId="67" priority="4" operator="containsText" text="中止">
      <formula>NOT(ISERROR(SEARCH("中止",A4)))</formula>
    </cfRule>
    <cfRule type="containsText" dxfId="66" priority="5" operator="containsText" text="保留">
      <formula>NOT(ISERROR(SEARCH("保留",A4)))</formula>
    </cfRule>
    <cfRule type="containsText" dxfId="65" priority="6" operator="containsText" text="進行中">
      <formula>NOT(ISERROR(SEARCH("進行中",A4)))</formula>
    </cfRule>
    <cfRule type="containsText" dxfId="64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A2 K1:L1048576 C1:C1048576 I1:I1048576 G2:G1048576" xr:uid="{03F27856-EEF3-4A2F-9C39-CAD65EF4C9BA}"/>
    <dataValidation imeMode="off" allowBlank="1" showInputMessage="1" showErrorMessage="1" sqref="G1 B1:B1048576 D1:F1048576 J1:J1048576 H1:H1048576" xr:uid="{2170C386-3EA7-4867-BB07-4283299B9500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929DE3-490F-4A89-B4A8-D9942B3DA711}">
          <x14:formula1>
            <xm:f>タスク!$B$3:$B$14</xm:f>
          </x14:formula1>
          <xm:sqref>A4:A1048576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183A-ECAC-4517-8722-B3FB532D5932}">
  <sheetPr codeName="Sheet18">
    <pageSetUpPr fitToPage="1"/>
  </sheetPr>
  <dimension ref="A1:M50"/>
  <sheetViews>
    <sheetView zoomScaleNormal="100" workbookViewId="0">
      <pane ySplit="3" topLeftCell="A4" activePane="bottomLeft" state="frozen"/>
      <selection activeCell="C12" sqref="C12"/>
      <selection pane="bottomLeft" activeCell="H5" sqref="H4:H5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157" t="s">
        <v>27</v>
      </c>
    </row>
    <row r="4" spans="1:13" ht="18.600000000000001" thickTop="1">
      <c r="A4" s="17"/>
      <c r="B4" s="3">
        <v>1</v>
      </c>
      <c r="C4" s="4" t="s">
        <v>520</v>
      </c>
      <c r="D4" s="3">
        <v>16111001</v>
      </c>
      <c r="E4" s="4"/>
      <c r="F4" s="65"/>
      <c r="G4" s="4" t="s">
        <v>521</v>
      </c>
      <c r="H4" s="10"/>
      <c r="I4" s="3" t="s">
        <v>519</v>
      </c>
      <c r="J4" s="1">
        <v>45308</v>
      </c>
      <c r="K4" s="3" t="s">
        <v>477</v>
      </c>
      <c r="L4" s="4"/>
    </row>
    <row r="5" spans="1:13">
      <c r="A5" s="17"/>
      <c r="B5" s="3">
        <v>2</v>
      </c>
      <c r="C5" s="4" t="s">
        <v>520</v>
      </c>
      <c r="D5" s="3">
        <v>16111002</v>
      </c>
      <c r="E5" s="4"/>
      <c r="F5" s="65"/>
      <c r="G5" s="4" t="s">
        <v>521</v>
      </c>
      <c r="H5" s="10"/>
      <c r="I5" s="3" t="s">
        <v>79</v>
      </c>
      <c r="J5" s="1">
        <v>45342</v>
      </c>
      <c r="K5" s="3" t="s">
        <v>477</v>
      </c>
      <c r="L5" s="4"/>
    </row>
    <row r="6" spans="1:13">
      <c r="A6" s="17"/>
      <c r="B6" s="3">
        <v>3</v>
      </c>
      <c r="C6" s="4"/>
      <c r="D6" s="3">
        <v>16111003</v>
      </c>
      <c r="E6" s="4"/>
      <c r="F6" s="65"/>
      <c r="G6" s="4"/>
      <c r="H6" s="10"/>
      <c r="I6" s="3"/>
      <c r="J6" s="1"/>
      <c r="K6" s="3"/>
      <c r="L6" s="4"/>
    </row>
    <row r="7" spans="1:13">
      <c r="A7" s="17"/>
      <c r="B7" s="3">
        <v>4</v>
      </c>
      <c r="C7" s="4"/>
      <c r="D7" s="3">
        <v>16111004</v>
      </c>
      <c r="E7" s="4"/>
      <c r="F7" s="65"/>
      <c r="G7" s="4"/>
      <c r="H7" s="10"/>
      <c r="I7" s="3"/>
      <c r="J7" s="1"/>
      <c r="K7" s="3"/>
      <c r="L7" s="4"/>
    </row>
    <row r="8" spans="1:13">
      <c r="A8" s="17"/>
      <c r="B8" s="3">
        <v>5</v>
      </c>
      <c r="C8" s="4"/>
      <c r="D8" s="3">
        <v>16111005</v>
      </c>
      <c r="E8" s="4"/>
      <c r="F8" s="65"/>
      <c r="G8" s="4"/>
      <c r="H8" s="10"/>
      <c r="I8" s="3"/>
      <c r="J8" s="1"/>
      <c r="K8" s="3"/>
      <c r="L8" s="4"/>
    </row>
    <row r="9" spans="1:13">
      <c r="A9" s="17"/>
      <c r="B9" s="3">
        <v>6</v>
      </c>
      <c r="C9" s="4"/>
      <c r="D9" s="3">
        <v>16111006</v>
      </c>
      <c r="E9" s="4"/>
      <c r="F9" s="65"/>
      <c r="G9" s="4"/>
      <c r="H9" s="10"/>
      <c r="I9" s="3"/>
      <c r="J9" s="1"/>
      <c r="K9" s="3"/>
      <c r="L9" s="4"/>
    </row>
    <row r="10" spans="1:13">
      <c r="A10" s="17"/>
      <c r="B10" s="3">
        <v>7</v>
      </c>
      <c r="C10" s="4"/>
      <c r="D10" s="3">
        <v>16111007</v>
      </c>
      <c r="E10" s="4"/>
      <c r="F10" s="65"/>
      <c r="G10" s="4"/>
      <c r="H10" s="10"/>
      <c r="I10" s="3"/>
      <c r="J10" s="1"/>
      <c r="K10" s="3"/>
      <c r="L10" s="4"/>
    </row>
    <row r="11" spans="1:13">
      <c r="A11" s="149"/>
      <c r="B11" s="150">
        <v>8</v>
      </c>
      <c r="C11" s="151"/>
      <c r="D11" s="3">
        <v>16111008</v>
      </c>
      <c r="E11" s="151"/>
      <c r="F11" s="153"/>
      <c r="G11" s="151"/>
      <c r="H11" s="154"/>
      <c r="I11" s="150"/>
      <c r="J11" s="155"/>
      <c r="K11" s="150"/>
      <c r="L11" s="4"/>
    </row>
    <row r="12" spans="1:13">
      <c r="A12" s="3"/>
      <c r="B12" s="3">
        <v>9</v>
      </c>
      <c r="C12" s="4"/>
      <c r="D12" s="3">
        <v>16111009</v>
      </c>
      <c r="E12" s="4"/>
      <c r="F12" s="65"/>
      <c r="G12" s="4"/>
      <c r="H12" s="10"/>
      <c r="I12" s="3"/>
      <c r="J12" s="1"/>
      <c r="K12" s="3"/>
      <c r="L12" s="4"/>
    </row>
    <row r="13" spans="1:13">
      <c r="A13" s="3"/>
      <c r="B13" s="3">
        <v>10</v>
      </c>
      <c r="C13" s="4"/>
      <c r="D13" s="3">
        <v>16111010</v>
      </c>
      <c r="E13" s="4"/>
      <c r="F13" s="65"/>
      <c r="G13" s="4"/>
      <c r="H13" s="10"/>
      <c r="I13" s="3"/>
      <c r="J13" s="1"/>
      <c r="K13" s="3"/>
      <c r="L13" s="4"/>
    </row>
    <row r="14" spans="1:13">
      <c r="A14" s="3"/>
      <c r="B14" s="3">
        <v>11</v>
      </c>
      <c r="C14" s="4"/>
      <c r="D14" s="3">
        <v>16111011</v>
      </c>
      <c r="E14" s="4"/>
      <c r="F14" s="65"/>
      <c r="G14" s="4"/>
      <c r="H14" s="10"/>
      <c r="I14" s="3"/>
      <c r="J14" s="1"/>
      <c r="K14" s="3"/>
      <c r="L14" s="4"/>
    </row>
    <row r="15" spans="1:13">
      <c r="A15" s="3"/>
      <c r="B15" s="3">
        <v>12</v>
      </c>
      <c r="C15" s="4"/>
      <c r="D15" s="3">
        <v>16111012</v>
      </c>
      <c r="E15" s="4"/>
      <c r="F15" s="65"/>
      <c r="G15" s="4"/>
      <c r="H15" s="10"/>
      <c r="I15" s="3"/>
      <c r="J15" s="1"/>
      <c r="K15" s="3"/>
      <c r="L15" s="4"/>
    </row>
    <row r="16" spans="1:13">
      <c r="A16" s="3"/>
      <c r="B16" s="3">
        <v>13</v>
      </c>
      <c r="C16" s="4"/>
      <c r="D16" s="3">
        <v>16111013</v>
      </c>
      <c r="E16" s="4"/>
      <c r="F16" s="65"/>
      <c r="G16" s="4"/>
      <c r="H16" s="10"/>
      <c r="I16" s="3"/>
      <c r="J16" s="1"/>
      <c r="K16" s="3"/>
      <c r="L16" s="4"/>
    </row>
    <row r="17" spans="1:12">
      <c r="A17" s="3"/>
      <c r="B17" s="3">
        <v>14</v>
      </c>
      <c r="C17" s="4"/>
      <c r="D17" s="3">
        <v>16111014</v>
      </c>
      <c r="E17" s="4"/>
      <c r="F17" s="65"/>
      <c r="G17" s="4"/>
      <c r="H17" s="10"/>
      <c r="I17" s="3"/>
      <c r="J17" s="1"/>
      <c r="K17" s="3"/>
      <c r="L17" s="4"/>
    </row>
    <row r="18" spans="1:12">
      <c r="A18" s="3"/>
      <c r="B18" s="3">
        <v>15</v>
      </c>
      <c r="C18" s="4"/>
      <c r="D18" s="3">
        <v>16111015</v>
      </c>
      <c r="E18" s="4"/>
      <c r="F18" s="65"/>
      <c r="G18" s="4"/>
      <c r="H18" s="10"/>
      <c r="I18" s="3"/>
      <c r="J18" s="1"/>
      <c r="K18" s="3"/>
      <c r="L18" s="4"/>
    </row>
    <row r="19" spans="1:12">
      <c r="A19" s="3"/>
      <c r="B19" s="3">
        <v>16</v>
      </c>
      <c r="C19" s="4"/>
      <c r="D19" s="3">
        <v>16111016</v>
      </c>
      <c r="E19" s="4"/>
      <c r="F19" s="65"/>
      <c r="G19" s="4"/>
      <c r="H19" s="10"/>
      <c r="I19" s="3"/>
      <c r="J19" s="1"/>
      <c r="K19" s="3"/>
      <c r="L19" s="4"/>
    </row>
    <row r="20" spans="1:12">
      <c r="A20" s="3"/>
      <c r="B20" s="3">
        <v>17</v>
      </c>
      <c r="C20" s="4"/>
      <c r="D20" s="3">
        <v>16111017</v>
      </c>
      <c r="E20" s="4"/>
      <c r="F20" s="65"/>
      <c r="G20" s="4"/>
      <c r="H20" s="10"/>
      <c r="I20" s="3"/>
      <c r="J20" s="3"/>
      <c r="K20" s="3"/>
      <c r="L20" s="4"/>
    </row>
    <row r="21" spans="1:12">
      <c r="A21" s="3"/>
      <c r="B21" s="3">
        <v>18</v>
      </c>
      <c r="C21" s="4"/>
      <c r="D21" s="3">
        <v>16111018</v>
      </c>
      <c r="E21" s="4"/>
      <c r="F21" s="65"/>
      <c r="G21" s="4"/>
      <c r="H21" s="10"/>
      <c r="I21" s="3"/>
      <c r="J21" s="3"/>
      <c r="K21" s="3"/>
      <c r="L21" s="4"/>
    </row>
    <row r="22" spans="1:12">
      <c r="A22" s="3"/>
      <c r="B22" s="3">
        <v>19</v>
      </c>
      <c r="C22" s="4"/>
      <c r="D22" s="3">
        <v>16111019</v>
      </c>
      <c r="E22" s="4"/>
      <c r="F22" s="65"/>
      <c r="G22" s="4"/>
      <c r="H22" s="10"/>
      <c r="I22" s="3"/>
      <c r="J22" s="3"/>
      <c r="K22" s="3"/>
      <c r="L22" s="4"/>
    </row>
    <row r="23" spans="1:12">
      <c r="A23" s="3"/>
      <c r="B23" s="3">
        <v>20</v>
      </c>
      <c r="C23" s="4"/>
      <c r="D23" s="3">
        <v>16111020</v>
      </c>
      <c r="E23" s="4"/>
      <c r="F23" s="65"/>
      <c r="G23" s="4"/>
      <c r="H23" s="10"/>
      <c r="I23" s="3"/>
      <c r="J23" s="3"/>
      <c r="K23" s="3"/>
      <c r="L23" s="4"/>
    </row>
    <row r="24" spans="1:12">
      <c r="A24" s="3"/>
      <c r="B24" s="3">
        <v>21</v>
      </c>
      <c r="C24" s="4"/>
      <c r="D24" s="3">
        <v>16111021</v>
      </c>
      <c r="E24" s="4"/>
      <c r="F24" s="65"/>
      <c r="G24" s="4"/>
      <c r="H24" s="10"/>
      <c r="I24" s="3"/>
      <c r="J24" s="3"/>
      <c r="K24" s="3"/>
      <c r="L24" s="4"/>
    </row>
    <row r="25" spans="1:12">
      <c r="A25" s="3"/>
      <c r="B25" s="3">
        <v>22</v>
      </c>
      <c r="C25" s="4"/>
      <c r="D25" s="3">
        <v>16111022</v>
      </c>
      <c r="E25" s="4"/>
      <c r="F25" s="65"/>
      <c r="G25" s="4"/>
      <c r="H25" s="10"/>
      <c r="I25" s="3"/>
      <c r="J25" s="3"/>
      <c r="K25" s="3"/>
      <c r="L25" s="4"/>
    </row>
    <row r="26" spans="1:12">
      <c r="A26" s="3"/>
      <c r="B26" s="3">
        <v>23</v>
      </c>
      <c r="C26" s="4"/>
      <c r="D26" s="3">
        <v>16111023</v>
      </c>
      <c r="E26" s="4"/>
      <c r="F26" s="65"/>
      <c r="G26" s="4"/>
      <c r="H26" s="10"/>
      <c r="I26" s="3"/>
      <c r="J26" s="3"/>
      <c r="K26" s="3"/>
      <c r="L26" s="4"/>
    </row>
    <row r="27" spans="1:12">
      <c r="A27" s="3"/>
      <c r="B27" s="3">
        <v>24</v>
      </c>
      <c r="C27" s="4"/>
      <c r="D27" s="3">
        <v>16111024</v>
      </c>
      <c r="E27" s="4"/>
      <c r="F27" s="65"/>
      <c r="G27" s="4"/>
      <c r="H27" s="10"/>
      <c r="I27" s="3"/>
      <c r="J27" s="3"/>
      <c r="K27" s="3"/>
      <c r="L27" s="4"/>
    </row>
    <row r="28" spans="1:12">
      <c r="A28" s="3"/>
      <c r="B28" s="3">
        <v>25</v>
      </c>
      <c r="C28" s="4"/>
      <c r="D28" s="3">
        <v>16111025</v>
      </c>
      <c r="E28" s="4"/>
      <c r="F28" s="65"/>
      <c r="G28" s="4"/>
      <c r="H28" s="10"/>
      <c r="I28" s="3"/>
      <c r="J28" s="3"/>
      <c r="K28" s="3"/>
      <c r="L28" s="4"/>
    </row>
    <row r="29" spans="1:12">
      <c r="A29" s="3"/>
      <c r="B29" s="3">
        <v>26</v>
      </c>
      <c r="C29" s="4"/>
      <c r="D29" s="3">
        <v>16111026</v>
      </c>
      <c r="E29" s="4"/>
      <c r="F29" s="65"/>
      <c r="G29" s="4"/>
      <c r="H29" s="10"/>
      <c r="I29" s="3"/>
      <c r="J29" s="3"/>
      <c r="K29" s="3"/>
      <c r="L29" s="4"/>
    </row>
    <row r="30" spans="1:12">
      <c r="A30" s="3"/>
      <c r="B30" s="3">
        <v>27</v>
      </c>
      <c r="C30" s="4"/>
      <c r="D30" s="3">
        <v>16111027</v>
      </c>
      <c r="E30" s="4"/>
      <c r="F30" s="65"/>
      <c r="G30" s="4"/>
      <c r="H30" s="10"/>
      <c r="I30" s="3"/>
      <c r="J30" s="3"/>
      <c r="K30" s="3"/>
      <c r="L30" s="4"/>
    </row>
    <row r="31" spans="1:12">
      <c r="A31" s="3"/>
      <c r="B31" s="3">
        <v>28</v>
      </c>
      <c r="C31" s="4"/>
      <c r="D31" s="3">
        <v>16111028</v>
      </c>
      <c r="E31" s="4"/>
      <c r="F31" s="65"/>
      <c r="G31" s="4"/>
      <c r="H31" s="10"/>
      <c r="I31" s="3"/>
      <c r="J31" s="3"/>
      <c r="K31" s="3"/>
      <c r="L31" s="4"/>
    </row>
    <row r="32" spans="1:12">
      <c r="A32" s="3"/>
      <c r="B32" s="3">
        <v>29</v>
      </c>
      <c r="C32" s="4"/>
      <c r="D32" s="3">
        <v>16111029</v>
      </c>
      <c r="E32" s="4"/>
      <c r="F32" s="65"/>
      <c r="G32" s="4"/>
      <c r="H32" s="10"/>
      <c r="I32" s="3"/>
      <c r="J32" s="3"/>
      <c r="K32" s="3"/>
      <c r="L32" s="4"/>
    </row>
    <row r="33" spans="1:12">
      <c r="A33" s="3"/>
      <c r="B33" s="3">
        <v>30</v>
      </c>
      <c r="C33" s="4"/>
      <c r="D33" s="3">
        <v>16111030</v>
      </c>
      <c r="E33" s="4"/>
      <c r="F33" s="65"/>
      <c r="G33" s="4"/>
      <c r="H33" s="10"/>
      <c r="I33" s="3"/>
      <c r="J33" s="3"/>
      <c r="K33" s="3"/>
      <c r="L33" s="4"/>
    </row>
    <row r="34" spans="1:12">
      <c r="A34" s="3"/>
      <c r="B34" s="3">
        <v>31</v>
      </c>
      <c r="C34" s="4"/>
      <c r="D34" s="3">
        <v>16111031</v>
      </c>
      <c r="E34" s="4"/>
      <c r="F34" s="65"/>
      <c r="G34" s="4"/>
      <c r="H34" s="10"/>
      <c r="I34" s="3"/>
      <c r="J34" s="3"/>
      <c r="K34" s="3"/>
      <c r="L34" s="4"/>
    </row>
    <row r="35" spans="1:12">
      <c r="A35" s="3"/>
      <c r="B35" s="3">
        <v>32</v>
      </c>
      <c r="C35" s="4"/>
      <c r="D35" s="3">
        <v>16111032</v>
      </c>
      <c r="E35" s="4"/>
      <c r="F35" s="65"/>
      <c r="G35" s="4"/>
      <c r="H35" s="10"/>
      <c r="I35" s="3"/>
      <c r="J35" s="3"/>
      <c r="K35" s="3"/>
      <c r="L35" s="4"/>
    </row>
    <row r="36" spans="1:12">
      <c r="A36" s="3"/>
      <c r="B36" s="3">
        <v>33</v>
      </c>
      <c r="C36" s="4"/>
      <c r="D36" s="3">
        <v>16111033</v>
      </c>
      <c r="E36" s="4"/>
      <c r="F36" s="65"/>
      <c r="G36" s="4"/>
      <c r="H36" s="10"/>
      <c r="I36" s="3"/>
      <c r="J36" s="3"/>
      <c r="K36" s="3"/>
      <c r="L36" s="4"/>
    </row>
    <row r="37" spans="1:12">
      <c r="A37" s="3"/>
      <c r="B37" s="3">
        <v>34</v>
      </c>
      <c r="C37" s="4"/>
      <c r="D37" s="3">
        <v>16111034</v>
      </c>
      <c r="E37" s="4"/>
      <c r="F37" s="65"/>
      <c r="G37" s="4"/>
      <c r="H37" s="10"/>
      <c r="I37" s="3"/>
      <c r="J37" s="3"/>
      <c r="K37" s="3"/>
      <c r="L37" s="4"/>
    </row>
    <row r="38" spans="1:12">
      <c r="A38" s="3"/>
      <c r="B38" s="3">
        <v>35</v>
      </c>
      <c r="C38" s="4"/>
      <c r="D38" s="3">
        <v>16111035</v>
      </c>
      <c r="E38" s="4"/>
      <c r="F38" s="65"/>
      <c r="G38" s="4"/>
      <c r="H38" s="10"/>
      <c r="I38" s="3"/>
      <c r="J38" s="3"/>
      <c r="K38" s="3"/>
      <c r="L38" s="4"/>
    </row>
    <row r="39" spans="1:12">
      <c r="A39" s="3"/>
      <c r="B39" s="3">
        <v>36</v>
      </c>
      <c r="C39" s="4"/>
      <c r="D39" s="3">
        <v>16111036</v>
      </c>
      <c r="E39" s="4"/>
      <c r="F39" s="65"/>
      <c r="G39" s="4"/>
      <c r="H39" s="10"/>
      <c r="I39" s="3"/>
      <c r="J39" s="3"/>
      <c r="K39" s="3"/>
      <c r="L39" s="4"/>
    </row>
    <row r="40" spans="1:12">
      <c r="A40" s="3"/>
      <c r="B40" s="3">
        <v>37</v>
      </c>
      <c r="C40" s="4"/>
      <c r="D40" s="3">
        <v>16111037</v>
      </c>
      <c r="E40" s="4"/>
      <c r="F40" s="65"/>
      <c r="G40" s="4"/>
      <c r="H40" s="10"/>
      <c r="I40" s="3"/>
      <c r="J40" s="3"/>
      <c r="K40" s="3"/>
      <c r="L40" s="4"/>
    </row>
    <row r="41" spans="1:12">
      <c r="A41" s="3"/>
      <c r="B41" s="3">
        <v>38</v>
      </c>
      <c r="C41" s="4"/>
      <c r="D41" s="3">
        <v>16111038</v>
      </c>
      <c r="E41" s="4"/>
      <c r="F41" s="65"/>
      <c r="G41" s="4"/>
      <c r="H41" s="10"/>
      <c r="I41" s="3"/>
      <c r="J41" s="3"/>
      <c r="K41" s="3"/>
      <c r="L41" s="4"/>
    </row>
    <row r="42" spans="1:12">
      <c r="A42" s="3"/>
      <c r="B42" s="3">
        <v>39</v>
      </c>
      <c r="C42" s="4"/>
      <c r="D42" s="3">
        <v>16111039</v>
      </c>
      <c r="E42" s="4"/>
      <c r="F42" s="65"/>
      <c r="G42" s="4"/>
      <c r="H42" s="10"/>
      <c r="I42" s="3"/>
      <c r="J42" s="3"/>
      <c r="K42" s="3"/>
      <c r="L42" s="4"/>
    </row>
    <row r="43" spans="1:12">
      <c r="A43" s="3"/>
      <c r="B43" s="3">
        <v>40</v>
      </c>
      <c r="C43" s="4"/>
      <c r="D43" s="3">
        <v>16111040</v>
      </c>
      <c r="E43" s="4"/>
      <c r="F43" s="65"/>
      <c r="G43" s="4"/>
      <c r="H43" s="10"/>
      <c r="I43" s="3"/>
      <c r="J43" s="3"/>
      <c r="K43" s="3"/>
      <c r="L43" s="4"/>
    </row>
    <row r="44" spans="1:12">
      <c r="A44" s="3"/>
      <c r="B44" s="3">
        <v>41</v>
      </c>
      <c r="C44" s="4"/>
      <c r="D44" s="3">
        <v>16111041</v>
      </c>
      <c r="E44" s="4"/>
      <c r="F44" s="65"/>
      <c r="G44" s="4"/>
      <c r="H44" s="10"/>
      <c r="I44" s="3"/>
      <c r="J44" s="3"/>
      <c r="K44" s="3"/>
      <c r="L44" s="4"/>
    </row>
    <row r="45" spans="1:12">
      <c r="A45" s="3"/>
      <c r="B45" s="3">
        <v>42</v>
      </c>
      <c r="C45" s="4"/>
      <c r="D45" s="3">
        <v>16111042</v>
      </c>
      <c r="E45" s="4"/>
      <c r="F45" s="65"/>
      <c r="G45" s="4"/>
      <c r="H45" s="10"/>
      <c r="I45" s="3"/>
      <c r="J45" s="3"/>
      <c r="K45" s="3"/>
      <c r="L45" s="4"/>
    </row>
    <row r="46" spans="1:12">
      <c r="A46" s="3"/>
      <c r="B46" s="3">
        <v>43</v>
      </c>
      <c r="C46" s="4"/>
      <c r="D46" s="3">
        <v>16111043</v>
      </c>
      <c r="E46" s="4"/>
      <c r="F46" s="65"/>
      <c r="G46" s="4"/>
      <c r="H46" s="10"/>
      <c r="I46" s="3"/>
      <c r="J46" s="3"/>
      <c r="K46" s="3"/>
      <c r="L46" s="4"/>
    </row>
    <row r="47" spans="1:12">
      <c r="A47" s="3"/>
      <c r="B47" s="3">
        <v>44</v>
      </c>
      <c r="C47" s="4"/>
      <c r="D47" s="3">
        <v>16111044</v>
      </c>
      <c r="E47" s="4"/>
      <c r="F47" s="65"/>
      <c r="G47" s="4"/>
      <c r="H47" s="10"/>
      <c r="I47" s="3"/>
      <c r="J47" s="3"/>
      <c r="K47" s="3"/>
      <c r="L47" s="4"/>
    </row>
    <row r="48" spans="1:12">
      <c r="A48" s="3"/>
      <c r="B48" s="3">
        <v>45</v>
      </c>
      <c r="C48" s="4"/>
      <c r="D48" s="3">
        <v>16111045</v>
      </c>
      <c r="E48" s="4"/>
      <c r="F48" s="65"/>
      <c r="G48" s="4"/>
      <c r="H48" s="10"/>
      <c r="I48" s="3"/>
      <c r="J48" s="3"/>
      <c r="K48" s="3"/>
      <c r="L48" s="4"/>
    </row>
    <row r="49" spans="1:12">
      <c r="A49" s="3"/>
      <c r="B49" s="3">
        <v>46</v>
      </c>
      <c r="C49" s="4"/>
      <c r="D49" s="3">
        <v>16111046</v>
      </c>
      <c r="E49" s="4"/>
      <c r="F49" s="65"/>
      <c r="G49" s="4"/>
      <c r="H49" s="10"/>
      <c r="I49" s="3"/>
      <c r="J49" s="3"/>
      <c r="K49" s="3"/>
      <c r="L49" s="4"/>
    </row>
    <row r="50" spans="1:12">
      <c r="A50" s="3"/>
      <c r="B50" s="3">
        <v>47</v>
      </c>
      <c r="C50" s="4"/>
      <c r="D50" s="3">
        <v>16111047</v>
      </c>
      <c r="E50" s="4"/>
      <c r="F50" s="65"/>
      <c r="G50" s="4"/>
      <c r="H50" s="10"/>
      <c r="I50" s="3"/>
      <c r="J50" s="3"/>
      <c r="K50" s="3"/>
      <c r="L5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63" priority="1" operator="containsText" text="見積！">
      <formula>NOT(ISERROR(SEARCH("見積！",A1)))</formula>
    </cfRule>
  </conditionalFormatting>
  <conditionalFormatting sqref="A4:A1048576">
    <cfRule type="containsText" dxfId="62" priority="2" operator="containsText" text="着手">
      <formula>NOT(ISERROR(SEARCH("着手",A4)))</formula>
    </cfRule>
    <cfRule type="containsText" dxfId="61" priority="3" operator="containsText" text="見積完了">
      <formula>NOT(ISERROR(SEARCH("見積完了",A4)))</formula>
    </cfRule>
    <cfRule type="containsText" dxfId="60" priority="4" operator="containsText" text="中止">
      <formula>NOT(ISERROR(SEARCH("中止",A4)))</formula>
    </cfRule>
    <cfRule type="containsText" dxfId="59" priority="5" operator="containsText" text="保留">
      <formula>NOT(ISERROR(SEARCH("保留",A4)))</formula>
    </cfRule>
    <cfRule type="containsText" dxfId="58" priority="6" operator="containsText" text="進行中">
      <formula>NOT(ISERROR(SEARCH("進行中",A4)))</formula>
    </cfRule>
    <cfRule type="containsText" dxfId="57" priority="7" operator="containsText" text="完了">
      <formula>NOT(ISERROR(SEARCH("完了",A4)))</formula>
    </cfRule>
  </conditionalFormatting>
  <dataValidations count="2">
    <dataValidation imeMode="off" allowBlank="1" showInputMessage="1" showErrorMessage="1" sqref="G1 B1:B1048576 H1:H1048576 D1:F1048576 J1:J1048576" xr:uid="{A5056B3A-6066-4C71-B459-EAD06E6ADD60}"/>
    <dataValidation imeMode="on" allowBlank="1" showInputMessage="1" showErrorMessage="1" sqref="A2 G2:G1048576 C1:C1048576 I1:I1048576 K1:L1048576" xr:uid="{94E4D23A-9B9E-4299-9382-634D447A832F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D5B2E2-AB5C-4A62-AD69-13F775D5B273}">
          <x14:formula1>
            <xm:f>タスク!$B$3:$B$14</xm:f>
          </x14:formula1>
          <xm:sqref>A4:A1048576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6233-8735-40F3-B88A-D61117E6D88F}">
  <sheetPr codeName="Sheet19">
    <pageSetUpPr fitToPage="1"/>
  </sheetPr>
  <dimension ref="A1:M98"/>
  <sheetViews>
    <sheetView zoomScale="110" zoomScaleNormal="110" workbookViewId="0">
      <pane ySplit="3" topLeftCell="A17" activePane="bottomLeft" state="frozen"/>
      <selection activeCell="A11" sqref="A11"/>
      <selection pane="bottomLeft" activeCell="A29" sqref="A3:XFD2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 t="s">
        <v>28</v>
      </c>
      <c r="B4" s="3">
        <v>1</v>
      </c>
      <c r="C4" s="4" t="s">
        <v>258</v>
      </c>
      <c r="D4" s="3">
        <v>16120016</v>
      </c>
      <c r="E4" s="4" t="s">
        <v>259</v>
      </c>
      <c r="F4" s="65" t="s">
        <v>31</v>
      </c>
      <c r="G4" s="4" t="s">
        <v>260</v>
      </c>
      <c r="H4" s="10"/>
      <c r="I4" s="3" t="s">
        <v>33</v>
      </c>
      <c r="J4" s="1">
        <v>44903</v>
      </c>
      <c r="K4" s="3" t="s">
        <v>34</v>
      </c>
    </row>
    <row r="5" spans="1:13" hidden="1">
      <c r="A5" s="17" t="s">
        <v>28</v>
      </c>
      <c r="B5" s="3">
        <v>2</v>
      </c>
      <c r="C5" s="4" t="s">
        <v>258</v>
      </c>
      <c r="D5" s="3">
        <v>16120017</v>
      </c>
      <c r="E5" s="4" t="s">
        <v>261</v>
      </c>
      <c r="F5" s="65" t="s">
        <v>31</v>
      </c>
      <c r="G5" s="4" t="s">
        <v>262</v>
      </c>
      <c r="H5" s="10"/>
      <c r="I5" s="3" t="s">
        <v>33</v>
      </c>
      <c r="J5" s="1">
        <v>44903</v>
      </c>
      <c r="K5" s="3" t="s">
        <v>34</v>
      </c>
    </row>
    <row r="6" spans="1:13" hidden="1">
      <c r="A6" s="17" t="s">
        <v>28</v>
      </c>
      <c r="B6" s="3">
        <v>3</v>
      </c>
      <c r="C6" s="4" t="s">
        <v>258</v>
      </c>
      <c r="D6" s="3">
        <v>16120018</v>
      </c>
      <c r="E6" s="4" t="s">
        <v>263</v>
      </c>
      <c r="F6" s="65" t="s">
        <v>31</v>
      </c>
      <c r="G6" s="4" t="s">
        <v>260</v>
      </c>
      <c r="H6" s="10"/>
      <c r="I6" s="3" t="s">
        <v>74</v>
      </c>
      <c r="J6" s="1">
        <v>44937</v>
      </c>
      <c r="K6" s="3" t="s">
        <v>34</v>
      </c>
    </row>
    <row r="7" spans="1:13" hidden="1">
      <c r="A7" s="17" t="s">
        <v>28</v>
      </c>
      <c r="B7" s="3">
        <v>4</v>
      </c>
      <c r="C7" s="4" t="s">
        <v>258</v>
      </c>
      <c r="D7" s="3">
        <v>16120019</v>
      </c>
      <c r="E7" s="4" t="s">
        <v>264</v>
      </c>
      <c r="F7" s="65" t="s">
        <v>31</v>
      </c>
      <c r="G7" s="4" t="s">
        <v>262</v>
      </c>
      <c r="H7" s="10"/>
      <c r="I7" s="3" t="s">
        <v>74</v>
      </c>
      <c r="J7" s="1">
        <v>44937</v>
      </c>
      <c r="K7" s="3" t="s">
        <v>34</v>
      </c>
    </row>
    <row r="8" spans="1:13" hidden="1">
      <c r="A8" s="17" t="s">
        <v>28</v>
      </c>
      <c r="B8" s="3">
        <v>5</v>
      </c>
      <c r="C8" s="4" t="s">
        <v>258</v>
      </c>
      <c r="D8" s="3">
        <v>16120020</v>
      </c>
      <c r="E8" s="4"/>
      <c r="F8" s="65" t="s">
        <v>31</v>
      </c>
      <c r="G8" s="4" t="s">
        <v>260</v>
      </c>
      <c r="H8" s="10"/>
      <c r="I8" s="3" t="s">
        <v>79</v>
      </c>
      <c r="J8" s="1">
        <v>44966</v>
      </c>
      <c r="K8" s="3" t="s">
        <v>34</v>
      </c>
    </row>
    <row r="9" spans="1:13" hidden="1">
      <c r="A9" s="17" t="s">
        <v>28</v>
      </c>
      <c r="B9" s="3">
        <v>6</v>
      </c>
      <c r="C9" s="4" t="s">
        <v>258</v>
      </c>
      <c r="D9" s="3">
        <v>16120021</v>
      </c>
      <c r="E9" s="4"/>
      <c r="F9" s="65" t="s">
        <v>31</v>
      </c>
      <c r="G9" s="4" t="s">
        <v>262</v>
      </c>
      <c r="H9" s="10"/>
      <c r="I9" s="3" t="s">
        <v>79</v>
      </c>
      <c r="J9" s="1">
        <v>44966</v>
      </c>
      <c r="K9" s="3" t="s">
        <v>34</v>
      </c>
    </row>
    <row r="10" spans="1:13" hidden="1">
      <c r="A10" s="17" t="s">
        <v>28</v>
      </c>
      <c r="B10" s="3">
        <v>7</v>
      </c>
      <c r="C10" s="4" t="s">
        <v>258</v>
      </c>
      <c r="D10" s="3">
        <v>16120022</v>
      </c>
      <c r="E10" s="4"/>
      <c r="F10" s="65" t="s">
        <v>31</v>
      </c>
      <c r="G10" s="4" t="s">
        <v>260</v>
      </c>
      <c r="H10" s="10"/>
      <c r="I10" s="3" t="s">
        <v>40</v>
      </c>
      <c r="J10" s="1">
        <v>44999</v>
      </c>
      <c r="K10" s="3" t="s">
        <v>34</v>
      </c>
    </row>
    <row r="11" spans="1:13" hidden="1">
      <c r="A11" s="17" t="s">
        <v>28</v>
      </c>
      <c r="B11" s="3">
        <v>8</v>
      </c>
      <c r="C11" s="4" t="s">
        <v>258</v>
      </c>
      <c r="D11" s="3">
        <v>16120023</v>
      </c>
      <c r="E11" s="4"/>
      <c r="F11" s="65" t="s">
        <v>31</v>
      </c>
      <c r="G11" s="4" t="s">
        <v>262</v>
      </c>
      <c r="H11" s="10"/>
      <c r="I11" s="3" t="s">
        <v>40</v>
      </c>
      <c r="J11" s="1">
        <v>44999</v>
      </c>
      <c r="K11" s="3" t="s">
        <v>34</v>
      </c>
    </row>
    <row r="12" spans="1:13" hidden="1">
      <c r="A12" s="17" t="s">
        <v>28</v>
      </c>
      <c r="B12" s="3">
        <v>9</v>
      </c>
      <c r="C12" s="4" t="s">
        <v>258</v>
      </c>
      <c r="D12" s="3">
        <v>16120024</v>
      </c>
      <c r="E12" s="4"/>
      <c r="F12" s="65" t="s">
        <v>31</v>
      </c>
      <c r="G12" s="4" t="s">
        <v>260</v>
      </c>
      <c r="H12" s="10"/>
      <c r="I12" s="3" t="s">
        <v>82</v>
      </c>
      <c r="J12" s="1">
        <v>45023</v>
      </c>
      <c r="K12" s="3" t="s">
        <v>34</v>
      </c>
    </row>
    <row r="13" spans="1:13" hidden="1">
      <c r="A13" s="17" t="s">
        <v>28</v>
      </c>
      <c r="B13" s="3">
        <v>10</v>
      </c>
      <c r="C13" s="4" t="s">
        <v>258</v>
      </c>
      <c r="D13" s="3">
        <v>16120025</v>
      </c>
      <c r="E13" s="4"/>
      <c r="F13" s="65" t="s">
        <v>31</v>
      </c>
      <c r="G13" s="4" t="s">
        <v>262</v>
      </c>
      <c r="H13" s="10"/>
      <c r="I13" s="3" t="s">
        <v>82</v>
      </c>
      <c r="J13" s="1">
        <v>45023</v>
      </c>
      <c r="K13" s="3" t="s">
        <v>34</v>
      </c>
    </row>
    <row r="14" spans="1:13" hidden="1">
      <c r="A14" s="17" t="s">
        <v>28</v>
      </c>
      <c r="B14" s="3">
        <v>11</v>
      </c>
      <c r="C14" s="4" t="s">
        <v>258</v>
      </c>
      <c r="D14" s="3">
        <v>16120026</v>
      </c>
      <c r="E14" s="4"/>
      <c r="F14" s="65" t="s">
        <v>31</v>
      </c>
      <c r="G14" s="4" t="s">
        <v>260</v>
      </c>
      <c r="H14" s="10"/>
      <c r="I14" s="3" t="s">
        <v>42</v>
      </c>
      <c r="J14" s="1">
        <v>45063</v>
      </c>
      <c r="K14" s="3" t="s">
        <v>34</v>
      </c>
    </row>
    <row r="15" spans="1:13" hidden="1">
      <c r="A15" s="17" t="s">
        <v>28</v>
      </c>
      <c r="B15" s="3">
        <v>12</v>
      </c>
      <c r="C15" s="4" t="s">
        <v>258</v>
      </c>
      <c r="D15" s="3">
        <v>16120027</v>
      </c>
      <c r="E15" s="4"/>
      <c r="F15" s="65" t="s">
        <v>31</v>
      </c>
      <c r="G15" s="4" t="s">
        <v>262</v>
      </c>
      <c r="H15" s="10"/>
      <c r="I15" s="3" t="s">
        <v>42</v>
      </c>
      <c r="J15" s="1">
        <v>45063</v>
      </c>
      <c r="K15" s="3" t="s">
        <v>34</v>
      </c>
    </row>
    <row r="16" spans="1:13" hidden="1">
      <c r="A16" s="17" t="s">
        <v>28</v>
      </c>
      <c r="B16" s="3">
        <v>13</v>
      </c>
      <c r="C16" s="4" t="s">
        <v>258</v>
      </c>
      <c r="D16" s="3">
        <v>16120028</v>
      </c>
      <c r="E16" s="4"/>
      <c r="F16" s="65" t="s">
        <v>31</v>
      </c>
      <c r="G16" s="4" t="s">
        <v>260</v>
      </c>
      <c r="H16" s="10"/>
      <c r="I16" s="3" t="s">
        <v>56</v>
      </c>
      <c r="J16" s="1">
        <v>45085</v>
      </c>
      <c r="K16" s="3" t="s">
        <v>34</v>
      </c>
    </row>
    <row r="17" spans="1:12" hidden="1">
      <c r="A17" s="17" t="s">
        <v>28</v>
      </c>
      <c r="B17" s="3">
        <v>14</v>
      </c>
      <c r="C17" s="4" t="s">
        <v>258</v>
      </c>
      <c r="D17" s="3">
        <v>16120029</v>
      </c>
      <c r="E17" s="4"/>
      <c r="F17" s="65" t="s">
        <v>31</v>
      </c>
      <c r="G17" s="4" t="s">
        <v>262</v>
      </c>
      <c r="H17" s="10"/>
      <c r="I17" s="3" t="s">
        <v>56</v>
      </c>
      <c r="J17" s="1">
        <v>45085</v>
      </c>
      <c r="K17" s="3" t="s">
        <v>34</v>
      </c>
    </row>
    <row r="18" spans="1:12" hidden="1">
      <c r="A18" s="17" t="s">
        <v>28</v>
      </c>
      <c r="B18" s="3">
        <v>15</v>
      </c>
      <c r="C18" s="4" t="s">
        <v>258</v>
      </c>
      <c r="D18" s="3">
        <v>16120030</v>
      </c>
      <c r="E18" s="4"/>
      <c r="F18" s="65" t="s">
        <v>31</v>
      </c>
      <c r="G18" s="4" t="s">
        <v>260</v>
      </c>
      <c r="H18" s="10"/>
      <c r="I18" s="3" t="s">
        <v>84</v>
      </c>
      <c r="J18" s="1">
        <v>45112</v>
      </c>
      <c r="K18" s="3" t="s">
        <v>34</v>
      </c>
    </row>
    <row r="19" spans="1:12" hidden="1">
      <c r="A19" s="17" t="s">
        <v>28</v>
      </c>
      <c r="B19" s="3">
        <v>16</v>
      </c>
      <c r="C19" s="4" t="s">
        <v>258</v>
      </c>
      <c r="D19" s="3">
        <v>16120031</v>
      </c>
      <c r="E19" s="4"/>
      <c r="F19" s="65" t="s">
        <v>31</v>
      </c>
      <c r="G19" s="4" t="s">
        <v>262</v>
      </c>
      <c r="H19" s="10"/>
      <c r="I19" s="3" t="s">
        <v>84</v>
      </c>
      <c r="J19" s="1">
        <v>45112</v>
      </c>
      <c r="K19" s="3" t="s">
        <v>34</v>
      </c>
    </row>
    <row r="20" spans="1:12" hidden="1">
      <c r="A20" s="17" t="s">
        <v>28</v>
      </c>
      <c r="B20" s="3">
        <v>17</v>
      </c>
      <c r="C20" s="4" t="s">
        <v>258</v>
      </c>
      <c r="D20" s="3">
        <v>16120032</v>
      </c>
      <c r="E20" s="4"/>
      <c r="F20" s="65" t="s">
        <v>31</v>
      </c>
      <c r="G20" s="4" t="s">
        <v>260</v>
      </c>
      <c r="H20" s="10"/>
      <c r="I20" s="3" t="s">
        <v>468</v>
      </c>
      <c r="J20" s="1">
        <v>45148</v>
      </c>
      <c r="K20" s="3" t="s">
        <v>34</v>
      </c>
    </row>
    <row r="21" spans="1:12" hidden="1">
      <c r="A21" s="17" t="s">
        <v>28</v>
      </c>
      <c r="B21" s="3">
        <v>18</v>
      </c>
      <c r="C21" s="4" t="s">
        <v>258</v>
      </c>
      <c r="D21" s="3">
        <v>16120033</v>
      </c>
      <c r="E21" s="4"/>
      <c r="F21" s="65" t="s">
        <v>31</v>
      </c>
      <c r="G21" s="4" t="s">
        <v>262</v>
      </c>
      <c r="H21" s="10"/>
      <c r="I21" s="3" t="s">
        <v>468</v>
      </c>
      <c r="J21" s="1">
        <v>45148</v>
      </c>
      <c r="K21" s="3" t="s">
        <v>34</v>
      </c>
    </row>
    <row r="22" spans="1:12" hidden="1">
      <c r="A22" s="17" t="s">
        <v>28</v>
      </c>
      <c r="B22" s="3">
        <v>19</v>
      </c>
      <c r="C22" s="4" t="s">
        <v>258</v>
      </c>
      <c r="D22" s="3">
        <v>16120034</v>
      </c>
      <c r="E22" s="4"/>
      <c r="F22" s="65" t="s">
        <v>31</v>
      </c>
      <c r="G22" s="4" t="s">
        <v>262</v>
      </c>
      <c r="H22" s="10"/>
      <c r="I22" s="3" t="s">
        <v>47</v>
      </c>
      <c r="J22" s="1">
        <v>45183</v>
      </c>
      <c r="K22" s="3" t="s">
        <v>477</v>
      </c>
    </row>
    <row r="23" spans="1:12" hidden="1">
      <c r="A23" s="17" t="s">
        <v>28</v>
      </c>
      <c r="B23" s="3">
        <v>20</v>
      </c>
      <c r="C23" s="4" t="s">
        <v>258</v>
      </c>
      <c r="D23" s="3">
        <v>16120035</v>
      </c>
      <c r="E23" s="4"/>
      <c r="F23" s="65" t="s">
        <v>31</v>
      </c>
      <c r="G23" s="4" t="s">
        <v>260</v>
      </c>
      <c r="H23" s="10"/>
      <c r="I23" s="3" t="s">
        <v>47</v>
      </c>
      <c r="J23" s="1">
        <v>45183</v>
      </c>
      <c r="K23" s="3" t="s">
        <v>477</v>
      </c>
    </row>
    <row r="24" spans="1:12" hidden="1">
      <c r="A24" s="17" t="s">
        <v>44</v>
      </c>
      <c r="B24" s="3">
        <v>21</v>
      </c>
      <c r="C24" s="4" t="s">
        <v>258</v>
      </c>
      <c r="D24" s="3">
        <v>16120036</v>
      </c>
      <c r="E24" s="4"/>
      <c r="F24" s="65" t="s">
        <v>31</v>
      </c>
      <c r="G24" s="4" t="s">
        <v>260</v>
      </c>
      <c r="H24" s="10"/>
      <c r="I24" s="3" t="s">
        <v>48</v>
      </c>
      <c r="J24" s="1">
        <v>45210</v>
      </c>
      <c r="K24" s="3" t="s">
        <v>477</v>
      </c>
    </row>
    <row r="25" spans="1:12" hidden="1">
      <c r="A25" s="17" t="s">
        <v>44</v>
      </c>
      <c r="B25" s="3">
        <v>22</v>
      </c>
      <c r="C25" s="4" t="s">
        <v>258</v>
      </c>
      <c r="D25" s="3">
        <v>16120037</v>
      </c>
      <c r="E25" s="4"/>
      <c r="F25" s="65" t="s">
        <v>31</v>
      </c>
      <c r="G25" s="4" t="s">
        <v>262</v>
      </c>
      <c r="H25" s="10"/>
      <c r="I25" s="3" t="s">
        <v>48</v>
      </c>
      <c r="J25" s="1">
        <v>45210</v>
      </c>
      <c r="K25" s="3" t="s">
        <v>477</v>
      </c>
    </row>
    <row r="26" spans="1:12" hidden="1">
      <c r="A26" s="17" t="s">
        <v>456</v>
      </c>
      <c r="B26" s="3">
        <v>23</v>
      </c>
      <c r="C26" s="4" t="s">
        <v>258</v>
      </c>
      <c r="D26" s="3">
        <v>16120038</v>
      </c>
      <c r="E26" s="4"/>
      <c r="F26" s="65" t="s">
        <v>31</v>
      </c>
      <c r="G26" s="4" t="s">
        <v>260</v>
      </c>
      <c r="H26" s="10"/>
      <c r="I26" s="3" t="s">
        <v>49</v>
      </c>
      <c r="J26" s="1">
        <v>45243</v>
      </c>
      <c r="K26" s="3" t="s">
        <v>477</v>
      </c>
    </row>
    <row r="27" spans="1:12" hidden="1">
      <c r="A27" s="149" t="s">
        <v>456</v>
      </c>
      <c r="B27" s="150">
        <v>24</v>
      </c>
      <c r="C27" s="151" t="s">
        <v>258</v>
      </c>
      <c r="D27" s="150">
        <v>16120039</v>
      </c>
      <c r="E27" s="151"/>
      <c r="F27" s="153" t="s">
        <v>31</v>
      </c>
      <c r="G27" s="151" t="s">
        <v>262</v>
      </c>
      <c r="H27" s="154"/>
      <c r="I27" s="150" t="s">
        <v>49</v>
      </c>
      <c r="J27" s="155">
        <v>45243</v>
      </c>
      <c r="K27" s="150" t="s">
        <v>477</v>
      </c>
    </row>
    <row r="28" spans="1:12" hidden="1">
      <c r="A28" s="3"/>
      <c r="B28" s="3">
        <v>25</v>
      </c>
      <c r="C28" s="4" t="s">
        <v>258</v>
      </c>
      <c r="D28" s="3">
        <v>16120040</v>
      </c>
      <c r="E28" s="4"/>
      <c r="F28" s="65" t="s">
        <v>31</v>
      </c>
      <c r="G28" s="4" t="s">
        <v>260</v>
      </c>
      <c r="H28" s="10"/>
      <c r="I28" s="3" t="s">
        <v>33</v>
      </c>
      <c r="J28" s="1">
        <v>45276</v>
      </c>
      <c r="K28" s="3" t="s">
        <v>477</v>
      </c>
      <c r="L28" s="4"/>
    </row>
    <row r="29" spans="1:12">
      <c r="A29" s="3"/>
      <c r="B29" s="3">
        <v>26</v>
      </c>
      <c r="C29" s="4" t="s">
        <v>258</v>
      </c>
      <c r="D29" s="3">
        <v>16120041</v>
      </c>
      <c r="E29" s="4"/>
      <c r="F29" s="65" t="s">
        <v>31</v>
      </c>
      <c r="G29" s="4" t="s">
        <v>495</v>
      </c>
      <c r="H29" s="10"/>
      <c r="I29" s="3" t="s">
        <v>33</v>
      </c>
      <c r="J29" s="1">
        <v>45276</v>
      </c>
      <c r="K29" s="3" t="s">
        <v>477</v>
      </c>
      <c r="L29" s="4"/>
    </row>
    <row r="30" spans="1:12">
      <c r="A30" s="3"/>
      <c r="B30" s="3">
        <v>27</v>
      </c>
      <c r="C30" s="4" t="s">
        <v>258</v>
      </c>
      <c r="D30" s="3">
        <v>16120042</v>
      </c>
      <c r="E30" s="4"/>
      <c r="F30" s="65" t="s">
        <v>31</v>
      </c>
      <c r="G30" s="4" t="s">
        <v>260</v>
      </c>
      <c r="H30" s="10"/>
      <c r="I30" s="3" t="s">
        <v>518</v>
      </c>
      <c r="J30" s="1">
        <v>45309</v>
      </c>
      <c r="K30" s="3" t="s">
        <v>477</v>
      </c>
      <c r="L30" s="4"/>
    </row>
    <row r="31" spans="1:12">
      <c r="A31" s="3"/>
      <c r="B31" s="3">
        <v>28</v>
      </c>
      <c r="C31" s="151" t="s">
        <v>258</v>
      </c>
      <c r="D31" s="3">
        <v>16120043</v>
      </c>
      <c r="E31" s="4"/>
      <c r="F31" s="65" t="s">
        <v>31</v>
      </c>
      <c r="G31" s="151" t="s">
        <v>262</v>
      </c>
      <c r="H31" s="154"/>
      <c r="I31" s="150" t="s">
        <v>518</v>
      </c>
      <c r="J31" s="155">
        <v>45309</v>
      </c>
      <c r="K31" s="150" t="s">
        <v>477</v>
      </c>
      <c r="L31" s="4"/>
    </row>
    <row r="32" spans="1:12">
      <c r="A32" s="3"/>
      <c r="B32" s="3">
        <v>29</v>
      </c>
      <c r="C32" s="4" t="s">
        <v>258</v>
      </c>
      <c r="D32" s="3">
        <v>16120044</v>
      </c>
      <c r="E32" s="4"/>
      <c r="F32" s="65" t="s">
        <v>31</v>
      </c>
      <c r="G32" s="4" t="s">
        <v>260</v>
      </c>
      <c r="H32" s="10"/>
      <c r="I32" s="3" t="s">
        <v>217</v>
      </c>
      <c r="J32" s="1">
        <v>45328</v>
      </c>
      <c r="K32" s="3" t="s">
        <v>477</v>
      </c>
      <c r="L32" s="4"/>
    </row>
    <row r="33" spans="1:12">
      <c r="A33" s="3"/>
      <c r="B33" s="3">
        <v>30</v>
      </c>
      <c r="C33" s="151" t="s">
        <v>258</v>
      </c>
      <c r="D33" s="3">
        <v>16120045</v>
      </c>
      <c r="E33" s="4"/>
      <c r="F33" s="65" t="s">
        <v>31</v>
      </c>
      <c r="G33" s="151" t="s">
        <v>262</v>
      </c>
      <c r="H33" s="154"/>
      <c r="I33" s="150" t="s">
        <v>217</v>
      </c>
      <c r="J33" s="155">
        <v>45328</v>
      </c>
      <c r="K33" s="150" t="s">
        <v>477</v>
      </c>
      <c r="L33" s="4"/>
    </row>
    <row r="34" spans="1:12">
      <c r="A34" s="3"/>
      <c r="B34" s="3">
        <v>31</v>
      </c>
      <c r="C34" s="151" t="s">
        <v>258</v>
      </c>
      <c r="D34" s="3">
        <v>16120046</v>
      </c>
      <c r="E34" s="4"/>
      <c r="F34" s="65" t="s">
        <v>31</v>
      </c>
      <c r="G34" s="4" t="s">
        <v>260</v>
      </c>
      <c r="H34" s="10"/>
      <c r="I34" s="150" t="s">
        <v>532</v>
      </c>
      <c r="J34" s="155">
        <v>45364</v>
      </c>
      <c r="K34" s="150" t="s">
        <v>477</v>
      </c>
      <c r="L34" s="4"/>
    </row>
    <row r="35" spans="1:12">
      <c r="A35" s="3"/>
      <c r="B35" s="3">
        <v>32</v>
      </c>
      <c r="C35" s="151" t="s">
        <v>258</v>
      </c>
      <c r="D35" s="3">
        <v>16120047</v>
      </c>
      <c r="E35" s="4"/>
      <c r="F35" s="65" t="s">
        <v>31</v>
      </c>
      <c r="G35" s="151" t="s">
        <v>262</v>
      </c>
      <c r="H35" s="10"/>
      <c r="I35" s="150" t="s">
        <v>532</v>
      </c>
      <c r="J35" s="155">
        <v>45364</v>
      </c>
      <c r="K35" s="150" t="s">
        <v>477</v>
      </c>
      <c r="L35" s="4"/>
    </row>
    <row r="36" spans="1:12">
      <c r="A36" s="3"/>
      <c r="B36" s="3">
        <v>33</v>
      </c>
      <c r="C36" s="4" t="s">
        <v>563</v>
      </c>
      <c r="D36" s="3">
        <v>16120048</v>
      </c>
      <c r="E36" s="4"/>
      <c r="F36" s="65" t="s">
        <v>31</v>
      </c>
      <c r="G36" s="4" t="s">
        <v>260</v>
      </c>
      <c r="H36" s="10"/>
      <c r="I36" s="150" t="s">
        <v>562</v>
      </c>
      <c r="J36" s="155">
        <v>45390</v>
      </c>
      <c r="K36" s="150" t="s">
        <v>477</v>
      </c>
      <c r="L36" s="4"/>
    </row>
    <row r="37" spans="1:12">
      <c r="A37" s="3"/>
      <c r="B37" s="3">
        <v>34</v>
      </c>
      <c r="C37" s="4" t="s">
        <v>563</v>
      </c>
      <c r="D37" s="3">
        <v>16120049</v>
      </c>
      <c r="E37" s="4"/>
      <c r="F37" s="65" t="s">
        <v>31</v>
      </c>
      <c r="G37" s="151" t="s">
        <v>262</v>
      </c>
      <c r="H37" s="10"/>
      <c r="I37" s="150" t="s">
        <v>562</v>
      </c>
      <c r="J37" s="155">
        <v>45390</v>
      </c>
      <c r="K37" s="150" t="s">
        <v>477</v>
      </c>
      <c r="L37" s="4"/>
    </row>
    <row r="38" spans="1:12">
      <c r="A38" s="3"/>
      <c r="B38" s="3">
        <v>35</v>
      </c>
      <c r="C38" s="4" t="s">
        <v>563</v>
      </c>
      <c r="D38" s="3">
        <v>16120050</v>
      </c>
      <c r="E38" s="4"/>
      <c r="F38" s="65" t="s">
        <v>31</v>
      </c>
      <c r="G38" s="4" t="s">
        <v>260</v>
      </c>
      <c r="H38" s="10"/>
      <c r="I38" s="150" t="s">
        <v>156</v>
      </c>
      <c r="J38" s="155">
        <v>45422</v>
      </c>
      <c r="K38" s="150" t="s">
        <v>477</v>
      </c>
      <c r="L38" s="4"/>
    </row>
    <row r="39" spans="1:12">
      <c r="A39" s="3"/>
      <c r="B39" s="3">
        <v>36</v>
      </c>
      <c r="C39" s="4" t="s">
        <v>563</v>
      </c>
      <c r="D39" s="3">
        <v>16120051</v>
      </c>
      <c r="E39" s="4"/>
      <c r="F39" s="65" t="s">
        <v>31</v>
      </c>
      <c r="G39" s="151" t="s">
        <v>262</v>
      </c>
      <c r="H39" s="10"/>
      <c r="I39" s="150" t="s">
        <v>156</v>
      </c>
      <c r="J39" s="155">
        <v>45422</v>
      </c>
      <c r="K39" s="150" t="s">
        <v>477</v>
      </c>
      <c r="L39" s="4"/>
    </row>
    <row r="40" spans="1:12">
      <c r="A40" s="3"/>
      <c r="B40" s="3">
        <v>37</v>
      </c>
      <c r="C40" s="4" t="s">
        <v>563</v>
      </c>
      <c r="D40" s="3">
        <v>16120052</v>
      </c>
      <c r="E40" s="4"/>
      <c r="F40" s="65" t="s">
        <v>31</v>
      </c>
      <c r="G40" s="4" t="s">
        <v>260</v>
      </c>
      <c r="H40" s="10"/>
      <c r="I40" s="150" t="s">
        <v>635</v>
      </c>
      <c r="J40" s="155">
        <v>45453</v>
      </c>
      <c r="K40" s="150" t="s">
        <v>477</v>
      </c>
      <c r="L40" s="4"/>
    </row>
    <row r="41" spans="1:12" hidden="1">
      <c r="A41" s="3"/>
      <c r="B41" s="3">
        <v>38</v>
      </c>
      <c r="C41" s="4" t="s">
        <v>563</v>
      </c>
      <c r="D41" s="3">
        <v>16120053</v>
      </c>
      <c r="E41" s="4"/>
      <c r="F41" s="65" t="s">
        <v>31</v>
      </c>
      <c r="G41" s="151" t="s">
        <v>262</v>
      </c>
      <c r="H41" s="10"/>
      <c r="I41" s="150" t="s">
        <v>635</v>
      </c>
      <c r="J41" s="155">
        <v>45453</v>
      </c>
      <c r="K41" s="150" t="s">
        <v>477</v>
      </c>
      <c r="L41" s="4"/>
    </row>
    <row r="42" spans="1:12" hidden="1">
      <c r="A42" s="3"/>
      <c r="B42" s="3">
        <v>39</v>
      </c>
      <c r="C42" s="4" t="s">
        <v>563</v>
      </c>
      <c r="D42" s="3">
        <v>16120054</v>
      </c>
      <c r="E42" s="4"/>
      <c r="F42" s="65" t="s">
        <v>31</v>
      </c>
      <c r="G42" s="4" t="s">
        <v>260</v>
      </c>
      <c r="H42" s="10"/>
      <c r="I42" s="150" t="s">
        <v>641</v>
      </c>
      <c r="J42" s="155">
        <v>45481</v>
      </c>
      <c r="K42" s="150" t="s">
        <v>477</v>
      </c>
      <c r="L42" s="4"/>
    </row>
    <row r="43" spans="1:12" hidden="1">
      <c r="A43" s="3"/>
      <c r="B43" s="3">
        <v>40</v>
      </c>
      <c r="C43" s="4" t="s">
        <v>563</v>
      </c>
      <c r="D43" s="3">
        <v>16120055</v>
      </c>
      <c r="E43" s="4"/>
      <c r="F43" s="65" t="s">
        <v>31</v>
      </c>
      <c r="G43" s="151" t="s">
        <v>262</v>
      </c>
      <c r="H43" s="10"/>
      <c r="I43" s="150" t="s">
        <v>641</v>
      </c>
      <c r="J43" s="155">
        <v>45481</v>
      </c>
      <c r="K43" s="150" t="s">
        <v>477</v>
      </c>
      <c r="L43" s="4"/>
    </row>
    <row r="44" spans="1:12" hidden="1">
      <c r="A44" s="3"/>
      <c r="B44" s="3">
        <v>41</v>
      </c>
      <c r="C44" s="4" t="s">
        <v>563</v>
      </c>
      <c r="D44" s="3">
        <v>16120056</v>
      </c>
      <c r="E44" s="4"/>
      <c r="F44" s="65" t="s">
        <v>31</v>
      </c>
      <c r="G44" s="4" t="s">
        <v>260</v>
      </c>
      <c r="H44" s="10"/>
      <c r="I44" s="3" t="s">
        <v>646</v>
      </c>
      <c r="J44" s="144">
        <v>45510</v>
      </c>
      <c r="K44" s="3" t="s">
        <v>477</v>
      </c>
      <c r="L44" s="4"/>
    </row>
    <row r="45" spans="1:12" hidden="1">
      <c r="A45" s="3"/>
      <c r="B45" s="3">
        <v>42</v>
      </c>
      <c r="C45" s="4" t="s">
        <v>563</v>
      </c>
      <c r="D45" s="3">
        <v>16120057</v>
      </c>
      <c r="E45" s="4"/>
      <c r="F45" s="65" t="s">
        <v>31</v>
      </c>
      <c r="G45" s="151" t="s">
        <v>262</v>
      </c>
      <c r="H45" s="10"/>
      <c r="I45" s="3" t="s">
        <v>646</v>
      </c>
      <c r="J45" s="144">
        <v>45510</v>
      </c>
      <c r="K45" s="3" t="s">
        <v>477</v>
      </c>
      <c r="L45" s="4"/>
    </row>
    <row r="46" spans="1:12" hidden="1">
      <c r="A46" s="3"/>
      <c r="B46" s="3">
        <v>43</v>
      </c>
      <c r="C46" s="4" t="s">
        <v>563</v>
      </c>
      <c r="D46" s="3">
        <v>16120058</v>
      </c>
      <c r="E46" s="4"/>
      <c r="F46" s="65" t="s">
        <v>31</v>
      </c>
      <c r="G46" s="4" t="s">
        <v>260</v>
      </c>
      <c r="H46" s="10"/>
      <c r="I46" s="3" t="s">
        <v>481</v>
      </c>
      <c r="J46" s="144">
        <v>45544</v>
      </c>
      <c r="K46" s="3" t="s">
        <v>653</v>
      </c>
      <c r="L46" s="4"/>
    </row>
    <row r="47" spans="1:12" hidden="1">
      <c r="A47" s="3"/>
      <c r="B47" s="3">
        <v>44</v>
      </c>
      <c r="C47" s="4" t="s">
        <v>563</v>
      </c>
      <c r="D47" s="3">
        <v>16120059</v>
      </c>
      <c r="E47" s="4"/>
      <c r="F47" s="65" t="s">
        <v>31</v>
      </c>
      <c r="G47" s="151" t="s">
        <v>262</v>
      </c>
      <c r="H47" s="10"/>
      <c r="I47" s="3" t="s">
        <v>481</v>
      </c>
      <c r="J47" s="144">
        <v>45544</v>
      </c>
      <c r="K47" s="3" t="s">
        <v>653</v>
      </c>
      <c r="L47" s="4"/>
    </row>
    <row r="48" spans="1:12" hidden="1">
      <c r="A48" s="3"/>
      <c r="B48" s="3">
        <v>45</v>
      </c>
      <c r="C48" s="4" t="s">
        <v>563</v>
      </c>
      <c r="D48" s="3">
        <v>16120060</v>
      </c>
      <c r="E48" s="4"/>
      <c r="F48" s="65" t="s">
        <v>31</v>
      </c>
      <c r="G48" s="4" t="s">
        <v>260</v>
      </c>
      <c r="H48" s="10"/>
      <c r="I48" s="3" t="s">
        <v>661</v>
      </c>
      <c r="J48" s="144">
        <v>45583</v>
      </c>
      <c r="K48" s="3" t="s">
        <v>653</v>
      </c>
      <c r="L48" s="4"/>
    </row>
    <row r="49" spans="1:12" hidden="1">
      <c r="A49" s="3"/>
      <c r="B49" s="3">
        <v>46</v>
      </c>
      <c r="C49" s="4" t="s">
        <v>563</v>
      </c>
      <c r="D49" s="3">
        <v>16120061</v>
      </c>
      <c r="E49" s="4"/>
      <c r="F49" s="65" t="s">
        <v>31</v>
      </c>
      <c r="G49" s="151" t="s">
        <v>262</v>
      </c>
      <c r="H49" s="10"/>
      <c r="I49" s="3" t="s">
        <v>661</v>
      </c>
      <c r="J49" s="144">
        <v>45583</v>
      </c>
      <c r="K49" s="3" t="s">
        <v>653</v>
      </c>
      <c r="L49" s="4"/>
    </row>
    <row r="50" spans="1:12" hidden="1">
      <c r="A50" s="3"/>
      <c r="B50" s="3">
        <v>47</v>
      </c>
      <c r="C50" s="4" t="s">
        <v>563</v>
      </c>
      <c r="D50" s="3">
        <v>16120062</v>
      </c>
      <c r="E50" s="4"/>
      <c r="F50" s="65" t="s">
        <v>31</v>
      </c>
      <c r="G50" s="4" t="s">
        <v>260</v>
      </c>
      <c r="H50" s="10"/>
      <c r="I50" s="3" t="s">
        <v>493</v>
      </c>
      <c r="J50" s="144">
        <v>45604</v>
      </c>
      <c r="K50" s="3" t="s">
        <v>653</v>
      </c>
      <c r="L50" s="4"/>
    </row>
    <row r="51" spans="1:12" hidden="1">
      <c r="A51" s="3"/>
      <c r="B51" s="3">
        <v>48</v>
      </c>
      <c r="C51" s="4" t="s">
        <v>563</v>
      </c>
      <c r="D51" s="3">
        <v>16120063</v>
      </c>
      <c r="E51" s="4"/>
      <c r="F51" s="65" t="s">
        <v>31</v>
      </c>
      <c r="G51" s="151" t="s">
        <v>262</v>
      </c>
      <c r="H51" s="10"/>
      <c r="I51" s="3" t="s">
        <v>493</v>
      </c>
      <c r="J51" s="144">
        <v>45604</v>
      </c>
      <c r="K51" s="3" t="s">
        <v>653</v>
      </c>
      <c r="L51" s="4"/>
    </row>
    <row r="52" spans="1:12">
      <c r="A52" s="3"/>
      <c r="B52" s="3">
        <v>49</v>
      </c>
      <c r="C52" s="4" t="s">
        <v>563</v>
      </c>
      <c r="D52" s="3">
        <v>16120064</v>
      </c>
      <c r="E52" s="4"/>
      <c r="F52" s="65" t="s">
        <v>31</v>
      </c>
      <c r="G52" s="4" t="s">
        <v>260</v>
      </c>
      <c r="H52" s="10"/>
      <c r="I52" s="3" t="s">
        <v>33</v>
      </c>
      <c r="J52" s="144">
        <v>45632</v>
      </c>
      <c r="K52" s="3" t="s">
        <v>653</v>
      </c>
      <c r="L52" s="4"/>
    </row>
    <row r="53" spans="1:12">
      <c r="A53" s="3"/>
      <c r="B53" s="3">
        <v>50</v>
      </c>
      <c r="C53" s="4" t="s">
        <v>563</v>
      </c>
      <c r="D53" s="3">
        <v>16120065</v>
      </c>
      <c r="E53" s="4"/>
      <c r="F53" s="65" t="s">
        <v>31</v>
      </c>
      <c r="G53" s="151" t="s">
        <v>262</v>
      </c>
      <c r="H53" s="10"/>
      <c r="I53" s="3" t="s">
        <v>33</v>
      </c>
      <c r="J53" s="144">
        <v>45632</v>
      </c>
      <c r="K53" s="3" t="s">
        <v>653</v>
      </c>
      <c r="L53" s="4"/>
    </row>
    <row r="54" spans="1:12">
      <c r="A54" s="3"/>
      <c r="B54" s="3">
        <v>51</v>
      </c>
      <c r="C54" s="4" t="s">
        <v>563</v>
      </c>
      <c r="D54" s="3">
        <v>16120066</v>
      </c>
      <c r="E54" s="4"/>
      <c r="F54" s="65" t="s">
        <v>31</v>
      </c>
      <c r="G54" s="4" t="s">
        <v>260</v>
      </c>
      <c r="H54" s="10"/>
      <c r="I54" s="3" t="s">
        <v>518</v>
      </c>
      <c r="J54" s="144">
        <v>45672</v>
      </c>
      <c r="K54" s="3" t="s">
        <v>653</v>
      </c>
      <c r="L54" s="4"/>
    </row>
    <row r="55" spans="1:12">
      <c r="A55" s="3"/>
      <c r="B55" s="3">
        <v>52</v>
      </c>
      <c r="C55" s="4" t="s">
        <v>563</v>
      </c>
      <c r="D55" s="3">
        <v>16120067</v>
      </c>
      <c r="E55" s="4"/>
      <c r="F55" s="65" t="s">
        <v>31</v>
      </c>
      <c r="G55" s="151" t="s">
        <v>262</v>
      </c>
      <c r="H55" s="10"/>
      <c r="I55" s="3" t="s">
        <v>518</v>
      </c>
      <c r="J55" s="144">
        <v>45672</v>
      </c>
      <c r="K55" s="3" t="s">
        <v>653</v>
      </c>
      <c r="L55" s="4"/>
    </row>
    <row r="56" spans="1:12">
      <c r="A56" s="3"/>
      <c r="B56" s="3">
        <v>53</v>
      </c>
      <c r="C56" s="4" t="s">
        <v>563</v>
      </c>
      <c r="D56" s="3">
        <v>16120068</v>
      </c>
      <c r="E56" s="4"/>
      <c r="F56" s="65" t="s">
        <v>694</v>
      </c>
      <c r="G56" s="4" t="s">
        <v>695</v>
      </c>
      <c r="H56" s="10"/>
      <c r="I56" s="3" t="s">
        <v>518</v>
      </c>
      <c r="J56" s="144" t="s">
        <v>692</v>
      </c>
      <c r="K56" s="3" t="s">
        <v>653</v>
      </c>
      <c r="L56" s="4"/>
    </row>
    <row r="57" spans="1:12">
      <c r="A57" s="3"/>
      <c r="B57" s="3">
        <v>54</v>
      </c>
      <c r="C57" s="4" t="s">
        <v>563</v>
      </c>
      <c r="D57" s="3">
        <v>16120069</v>
      </c>
      <c r="E57" s="4"/>
      <c r="F57" s="65" t="s">
        <v>31</v>
      </c>
      <c r="G57" s="4" t="s">
        <v>260</v>
      </c>
      <c r="H57" s="10"/>
      <c r="I57" s="3" t="s">
        <v>217</v>
      </c>
      <c r="J57" s="144">
        <v>45699</v>
      </c>
      <c r="K57" s="3" t="s">
        <v>653</v>
      </c>
      <c r="L57" s="4"/>
    </row>
    <row r="58" spans="1:12">
      <c r="A58" s="3"/>
      <c r="B58" s="3">
        <v>55</v>
      </c>
      <c r="C58" s="4" t="s">
        <v>563</v>
      </c>
      <c r="D58" s="3">
        <v>16120070</v>
      </c>
      <c r="E58" s="4"/>
      <c r="F58" s="65" t="s">
        <v>31</v>
      </c>
      <c r="G58" s="151" t="s">
        <v>262</v>
      </c>
      <c r="H58" s="10"/>
      <c r="I58" s="3" t="s">
        <v>217</v>
      </c>
      <c r="J58" s="144">
        <v>45699</v>
      </c>
      <c r="K58" s="3" t="s">
        <v>653</v>
      </c>
      <c r="L58" s="4"/>
    </row>
    <row r="59" spans="1:12">
      <c r="A59" s="3"/>
      <c r="B59" s="3">
        <v>56</v>
      </c>
      <c r="C59" s="4" t="s">
        <v>563</v>
      </c>
      <c r="D59" s="3">
        <v>16120071</v>
      </c>
      <c r="E59" s="4"/>
      <c r="F59" s="65" t="s">
        <v>31</v>
      </c>
      <c r="G59" s="4" t="s">
        <v>260</v>
      </c>
      <c r="H59" s="10"/>
      <c r="I59" s="3" t="s">
        <v>531</v>
      </c>
      <c r="J59" s="144">
        <v>45735</v>
      </c>
      <c r="K59" s="3" t="s">
        <v>653</v>
      </c>
      <c r="L59" s="4"/>
    </row>
    <row r="60" spans="1:12">
      <c r="A60" s="3"/>
      <c r="B60" s="3">
        <v>57</v>
      </c>
      <c r="C60" s="4" t="s">
        <v>563</v>
      </c>
      <c r="D60" s="3">
        <v>16120072</v>
      </c>
      <c r="E60" s="4"/>
      <c r="F60" s="65" t="s">
        <v>31</v>
      </c>
      <c r="G60" s="151" t="s">
        <v>262</v>
      </c>
      <c r="H60" s="10"/>
      <c r="I60" s="3" t="s">
        <v>531</v>
      </c>
      <c r="J60" s="144">
        <v>45735</v>
      </c>
      <c r="K60" s="3" t="s">
        <v>653</v>
      </c>
      <c r="L60" s="4"/>
    </row>
    <row r="61" spans="1:12">
      <c r="A61" s="3"/>
      <c r="B61" s="3">
        <v>58</v>
      </c>
      <c r="C61" s="4" t="s">
        <v>563</v>
      </c>
      <c r="D61" s="3">
        <v>16120073</v>
      </c>
      <c r="E61" s="4"/>
      <c r="F61" s="65" t="s">
        <v>31</v>
      </c>
      <c r="G61" s="4" t="s">
        <v>695</v>
      </c>
      <c r="H61" s="10"/>
      <c r="I61" s="3" t="s">
        <v>531</v>
      </c>
      <c r="J61" s="144">
        <v>45735</v>
      </c>
      <c r="K61" s="3" t="s">
        <v>653</v>
      </c>
      <c r="L61" s="4"/>
    </row>
    <row r="62" spans="1:12">
      <c r="A62" s="3"/>
      <c r="B62" s="3">
        <v>59</v>
      </c>
      <c r="C62" s="4" t="s">
        <v>563</v>
      </c>
      <c r="D62" s="3">
        <v>16120074</v>
      </c>
      <c r="E62" s="4"/>
      <c r="F62" s="65" t="s">
        <v>31</v>
      </c>
      <c r="G62" s="4" t="s">
        <v>260</v>
      </c>
      <c r="H62" s="10"/>
      <c r="I62" s="3" t="s">
        <v>562</v>
      </c>
      <c r="J62" s="168">
        <v>45761</v>
      </c>
      <c r="K62" s="3" t="s">
        <v>750</v>
      </c>
      <c r="L62" s="4"/>
    </row>
    <row r="63" spans="1:12">
      <c r="A63" s="3"/>
      <c r="B63" s="3">
        <v>60</v>
      </c>
      <c r="C63" s="4" t="s">
        <v>563</v>
      </c>
      <c r="D63" s="3">
        <v>16120075</v>
      </c>
      <c r="E63" s="4"/>
      <c r="F63" s="65" t="s">
        <v>31</v>
      </c>
      <c r="G63" s="151" t="s">
        <v>262</v>
      </c>
      <c r="H63" s="10"/>
      <c r="I63" s="3" t="s">
        <v>562</v>
      </c>
      <c r="J63" s="168">
        <v>45761</v>
      </c>
      <c r="K63" s="3" t="s">
        <v>750</v>
      </c>
      <c r="L63" s="4"/>
    </row>
    <row r="64" spans="1:12">
      <c r="A64" s="3"/>
      <c r="B64" s="3">
        <v>61</v>
      </c>
      <c r="C64" s="4" t="s">
        <v>563</v>
      </c>
      <c r="D64" s="3">
        <v>16120076</v>
      </c>
      <c r="E64" s="4"/>
      <c r="F64" s="65" t="s">
        <v>31</v>
      </c>
      <c r="G64" s="4" t="s">
        <v>695</v>
      </c>
      <c r="H64" s="10"/>
      <c r="I64" s="3" t="s">
        <v>562</v>
      </c>
      <c r="J64" s="168">
        <v>45761</v>
      </c>
      <c r="K64" s="3" t="s">
        <v>750</v>
      </c>
      <c r="L64" s="4"/>
    </row>
    <row r="65" spans="1:12">
      <c r="A65" s="3"/>
      <c r="B65" s="3">
        <v>62</v>
      </c>
      <c r="C65" s="4" t="s">
        <v>563</v>
      </c>
      <c r="D65" s="3">
        <v>16120077</v>
      </c>
      <c r="E65" s="4"/>
      <c r="F65" s="65" t="s">
        <v>31</v>
      </c>
      <c r="G65" s="4" t="s">
        <v>260</v>
      </c>
      <c r="H65" s="10"/>
      <c r="I65" s="3" t="s">
        <v>781</v>
      </c>
      <c r="J65" s="168">
        <v>45790</v>
      </c>
      <c r="K65" s="3" t="s">
        <v>710</v>
      </c>
      <c r="L65" s="4"/>
    </row>
    <row r="66" spans="1:12">
      <c r="A66" s="3"/>
      <c r="B66" s="3">
        <v>63</v>
      </c>
      <c r="C66" s="4" t="s">
        <v>563</v>
      </c>
      <c r="D66" s="3">
        <v>16120078</v>
      </c>
      <c r="E66" s="4"/>
      <c r="F66" s="65" t="s">
        <v>31</v>
      </c>
      <c r="G66" s="151" t="s">
        <v>262</v>
      </c>
      <c r="H66" s="10"/>
      <c r="I66" s="3" t="s">
        <v>781</v>
      </c>
      <c r="J66" s="168">
        <v>45790</v>
      </c>
      <c r="K66" s="3" t="s">
        <v>710</v>
      </c>
      <c r="L66" s="4"/>
    </row>
    <row r="67" spans="1:12">
      <c r="A67" s="3"/>
      <c r="B67" s="3">
        <v>64</v>
      </c>
      <c r="C67" s="4" t="s">
        <v>563</v>
      </c>
      <c r="D67" s="3">
        <v>16120079</v>
      </c>
      <c r="E67" s="4"/>
      <c r="F67" s="65" t="s">
        <v>31</v>
      </c>
      <c r="G67" s="4" t="s">
        <v>695</v>
      </c>
      <c r="H67" s="10"/>
      <c r="I67" s="3" t="s">
        <v>781</v>
      </c>
      <c r="J67" s="168">
        <v>45790</v>
      </c>
      <c r="K67" s="3" t="s">
        <v>710</v>
      </c>
      <c r="L67" s="4"/>
    </row>
    <row r="68" spans="1:12">
      <c r="A68" s="3"/>
      <c r="B68" s="3">
        <v>65</v>
      </c>
      <c r="C68" s="4" t="s">
        <v>563</v>
      </c>
      <c r="D68" s="3">
        <v>16120080</v>
      </c>
      <c r="E68" s="4"/>
      <c r="F68" s="65" t="s">
        <v>31</v>
      </c>
      <c r="G68" s="4" t="s">
        <v>260</v>
      </c>
      <c r="H68" s="10"/>
      <c r="I68" s="3" t="s">
        <v>635</v>
      </c>
      <c r="J68" s="144">
        <v>45817</v>
      </c>
      <c r="K68" s="3" t="s">
        <v>653</v>
      </c>
      <c r="L68" s="4"/>
    </row>
    <row r="69" spans="1:12">
      <c r="A69" s="3"/>
      <c r="B69" s="3">
        <v>66</v>
      </c>
      <c r="C69" s="4" t="s">
        <v>563</v>
      </c>
      <c r="D69" s="3">
        <v>16120081</v>
      </c>
      <c r="E69" s="4"/>
      <c r="F69" s="65" t="s">
        <v>31</v>
      </c>
      <c r="G69" s="151" t="s">
        <v>262</v>
      </c>
      <c r="H69" s="10"/>
      <c r="I69" s="3" t="s">
        <v>635</v>
      </c>
      <c r="J69" s="144">
        <v>45817</v>
      </c>
      <c r="K69" s="3" t="s">
        <v>653</v>
      </c>
      <c r="L69" s="4"/>
    </row>
    <row r="70" spans="1:12">
      <c r="A70" s="3"/>
      <c r="B70" s="3">
        <v>67</v>
      </c>
      <c r="C70" s="4" t="s">
        <v>563</v>
      </c>
      <c r="D70" s="3">
        <v>16120082</v>
      </c>
      <c r="E70" s="4"/>
      <c r="F70" s="65" t="s">
        <v>31</v>
      </c>
      <c r="G70" s="4" t="s">
        <v>695</v>
      </c>
      <c r="H70" s="10"/>
      <c r="I70" s="3" t="s">
        <v>635</v>
      </c>
      <c r="J70" s="144">
        <v>45817</v>
      </c>
      <c r="K70" s="3" t="s">
        <v>653</v>
      </c>
      <c r="L70" s="4"/>
    </row>
    <row r="71" spans="1:12">
      <c r="B71" s="3">
        <v>68</v>
      </c>
      <c r="C71" s="4" t="s">
        <v>563</v>
      </c>
      <c r="D71" s="3">
        <v>16120083</v>
      </c>
      <c r="F71" s="65" t="s">
        <v>31</v>
      </c>
      <c r="G71" s="4" t="s">
        <v>260</v>
      </c>
      <c r="I71" s="3" t="s">
        <v>640</v>
      </c>
      <c r="J71" s="168">
        <v>45835</v>
      </c>
      <c r="K71" s="3" t="s">
        <v>653</v>
      </c>
      <c r="L71" s="4"/>
    </row>
    <row r="72" spans="1:12">
      <c r="B72" s="3">
        <v>69</v>
      </c>
      <c r="C72" s="4" t="s">
        <v>563</v>
      </c>
      <c r="D72" s="3">
        <v>16120084</v>
      </c>
      <c r="F72" s="65" t="s">
        <v>31</v>
      </c>
      <c r="G72" s="151" t="s">
        <v>262</v>
      </c>
      <c r="H72" s="10"/>
      <c r="I72" s="3" t="s">
        <v>640</v>
      </c>
      <c r="J72" s="168">
        <v>45835</v>
      </c>
      <c r="K72" s="3" t="s">
        <v>653</v>
      </c>
      <c r="L72" s="4"/>
    </row>
    <row r="73" spans="1:12">
      <c r="B73" s="3">
        <v>70</v>
      </c>
      <c r="C73" s="4" t="s">
        <v>563</v>
      </c>
      <c r="D73" s="3">
        <v>16120085</v>
      </c>
      <c r="F73" s="65" t="s">
        <v>31</v>
      </c>
      <c r="G73" s="4" t="s">
        <v>695</v>
      </c>
      <c r="H73" s="10"/>
      <c r="I73" s="3" t="s">
        <v>640</v>
      </c>
      <c r="J73" s="168">
        <v>45835</v>
      </c>
      <c r="K73" s="3" t="s">
        <v>653</v>
      </c>
      <c r="L73" s="4"/>
    </row>
    <row r="74" spans="1:12">
      <c r="B74" s="3">
        <v>71</v>
      </c>
      <c r="C74" s="4" t="s">
        <v>563</v>
      </c>
      <c r="D74" s="3">
        <v>16120086</v>
      </c>
      <c r="F74" s="65" t="s">
        <v>31</v>
      </c>
      <c r="G74" s="4" t="s">
        <v>695</v>
      </c>
      <c r="H74" s="10"/>
      <c r="I74" s="3" t="s">
        <v>815</v>
      </c>
      <c r="J74" s="162" t="s">
        <v>817</v>
      </c>
      <c r="K74" s="150" t="s">
        <v>653</v>
      </c>
      <c r="L74" s="4"/>
    </row>
    <row r="75" spans="1:12">
      <c r="B75" s="3">
        <v>72</v>
      </c>
      <c r="C75" s="4" t="s">
        <v>563</v>
      </c>
      <c r="D75" s="3">
        <v>16120087</v>
      </c>
      <c r="F75" s="65" t="s">
        <v>31</v>
      </c>
      <c r="G75" s="4" t="s">
        <v>260</v>
      </c>
      <c r="I75" s="3" t="s">
        <v>85</v>
      </c>
      <c r="J75" s="162" t="s">
        <v>818</v>
      </c>
      <c r="K75" s="150" t="s">
        <v>653</v>
      </c>
      <c r="L75" s="4"/>
    </row>
    <row r="76" spans="1:12">
      <c r="B76" s="3">
        <v>73</v>
      </c>
      <c r="C76" s="4" t="s">
        <v>563</v>
      </c>
      <c r="D76" s="3">
        <v>16120088</v>
      </c>
      <c r="F76" s="65" t="s">
        <v>31</v>
      </c>
      <c r="G76" s="4" t="s">
        <v>262</v>
      </c>
      <c r="H76" s="10"/>
      <c r="I76" s="3" t="s">
        <v>85</v>
      </c>
      <c r="J76" s="162" t="s">
        <v>818</v>
      </c>
      <c r="K76" s="150" t="s">
        <v>653</v>
      </c>
      <c r="L76" s="4"/>
    </row>
    <row r="77" spans="1:12">
      <c r="B77" s="3">
        <v>74</v>
      </c>
      <c r="C77" s="4" t="s">
        <v>563</v>
      </c>
      <c r="D77" s="3">
        <v>16120089</v>
      </c>
      <c r="F77" s="65" t="s">
        <v>31</v>
      </c>
      <c r="G77" s="4" t="s">
        <v>260</v>
      </c>
      <c r="H77" s="10"/>
      <c r="I77" s="3" t="s">
        <v>85</v>
      </c>
      <c r="J77" s="162" t="s">
        <v>818</v>
      </c>
      <c r="K77" s="3" t="s">
        <v>653</v>
      </c>
      <c r="L77" s="4"/>
    </row>
    <row r="78" spans="1:12">
      <c r="B78" s="3">
        <v>75</v>
      </c>
      <c r="C78" s="4" t="s">
        <v>563</v>
      </c>
      <c r="D78" s="3">
        <v>16120090</v>
      </c>
      <c r="F78" s="65" t="s">
        <v>31</v>
      </c>
      <c r="G78" s="4" t="s">
        <v>262</v>
      </c>
      <c r="H78" s="10"/>
      <c r="I78" s="3" t="s">
        <v>85</v>
      </c>
      <c r="J78" s="162" t="s">
        <v>818</v>
      </c>
      <c r="K78" s="3" t="s">
        <v>653</v>
      </c>
      <c r="L78" s="4"/>
    </row>
    <row r="79" spans="1:12">
      <c r="B79" s="3">
        <v>76</v>
      </c>
      <c r="C79" s="4" t="s">
        <v>563</v>
      </c>
      <c r="D79" s="3">
        <v>16120091</v>
      </c>
      <c r="F79" s="65" t="s">
        <v>31</v>
      </c>
      <c r="G79" s="4" t="s">
        <v>695</v>
      </c>
      <c r="H79" s="10"/>
      <c r="I79" s="3" t="s">
        <v>824</v>
      </c>
      <c r="J79" s="162" t="s">
        <v>825</v>
      </c>
      <c r="K79" s="150" t="s">
        <v>653</v>
      </c>
      <c r="L79" s="4"/>
    </row>
    <row r="80" spans="1:12">
      <c r="B80" s="3">
        <v>77</v>
      </c>
      <c r="C80" s="4" t="s">
        <v>563</v>
      </c>
      <c r="D80" s="3">
        <v>16120092</v>
      </c>
      <c r="F80" s="65" t="s">
        <v>31</v>
      </c>
      <c r="G80" s="4" t="s">
        <v>260</v>
      </c>
      <c r="I80" s="3" t="s">
        <v>824</v>
      </c>
      <c r="J80" s="162" t="s">
        <v>825</v>
      </c>
      <c r="K80" s="150" t="s">
        <v>653</v>
      </c>
      <c r="L80" s="4"/>
    </row>
    <row r="81" spans="2:12">
      <c r="B81" s="3">
        <v>78</v>
      </c>
      <c r="C81" s="4" t="s">
        <v>563</v>
      </c>
      <c r="D81" s="3">
        <v>16120093</v>
      </c>
      <c r="F81" s="65" t="s">
        <v>31</v>
      </c>
      <c r="G81" s="4" t="s">
        <v>827</v>
      </c>
      <c r="H81" s="10"/>
      <c r="I81" s="3" t="s">
        <v>824</v>
      </c>
      <c r="J81" s="162" t="s">
        <v>825</v>
      </c>
      <c r="K81" s="150" t="s">
        <v>653</v>
      </c>
      <c r="L81" s="4" t="s">
        <v>828</v>
      </c>
    </row>
    <row r="82" spans="2:12">
      <c r="B82" s="3">
        <v>79</v>
      </c>
      <c r="C82" s="4" t="s">
        <v>563</v>
      </c>
      <c r="D82" s="3">
        <v>16120094</v>
      </c>
      <c r="F82" s="65" t="s">
        <v>31</v>
      </c>
      <c r="G82" s="4" t="s">
        <v>695</v>
      </c>
      <c r="H82" s="10"/>
      <c r="I82" s="3" t="s">
        <v>833</v>
      </c>
      <c r="J82" s="162" t="s">
        <v>834</v>
      </c>
      <c r="K82" s="150" t="s">
        <v>653</v>
      </c>
      <c r="L82" s="4"/>
    </row>
    <row r="83" spans="2:12">
      <c r="B83" s="3">
        <v>80</v>
      </c>
      <c r="C83" s="4" t="s">
        <v>563</v>
      </c>
      <c r="D83" s="3">
        <v>16120095</v>
      </c>
      <c r="F83" s="65" t="s">
        <v>31</v>
      </c>
      <c r="G83" s="4" t="s">
        <v>260</v>
      </c>
      <c r="I83" s="3" t="s">
        <v>833</v>
      </c>
      <c r="J83" s="162" t="s">
        <v>834</v>
      </c>
      <c r="K83" s="150" t="s">
        <v>653</v>
      </c>
      <c r="L83" s="4"/>
    </row>
    <row r="84" spans="2:12">
      <c r="B84" s="3">
        <v>81</v>
      </c>
      <c r="C84" s="4" t="s">
        <v>563</v>
      </c>
      <c r="D84" s="3">
        <v>16120096</v>
      </c>
      <c r="F84" s="65" t="s">
        <v>31</v>
      </c>
      <c r="G84" s="4" t="s">
        <v>827</v>
      </c>
      <c r="H84" s="10"/>
      <c r="I84" s="3" t="s">
        <v>833</v>
      </c>
      <c r="J84" s="162" t="s">
        <v>834</v>
      </c>
      <c r="K84" s="150" t="s">
        <v>653</v>
      </c>
      <c r="L84" s="4"/>
    </row>
    <row r="85" spans="2:12">
      <c r="B85" s="150">
        <v>82</v>
      </c>
      <c r="C85" s="151" t="s">
        <v>563</v>
      </c>
      <c r="D85" s="150">
        <v>16120097</v>
      </c>
      <c r="F85" s="153" t="s">
        <v>31</v>
      </c>
      <c r="G85" s="151" t="s">
        <v>260</v>
      </c>
      <c r="I85" s="150" t="s">
        <v>854</v>
      </c>
      <c r="J85" s="177" t="s">
        <v>855</v>
      </c>
      <c r="K85" s="150" t="s">
        <v>653</v>
      </c>
      <c r="L85" s="151"/>
    </row>
    <row r="86" spans="2:12">
      <c r="B86" s="3">
        <v>83</v>
      </c>
      <c r="C86" s="4" t="s">
        <v>563</v>
      </c>
      <c r="D86" s="3">
        <v>16120098</v>
      </c>
      <c r="E86" s="4"/>
      <c r="F86" s="65" t="s">
        <v>31</v>
      </c>
      <c r="G86" s="4" t="s">
        <v>827</v>
      </c>
      <c r="H86" s="10"/>
      <c r="I86" s="3" t="s">
        <v>854</v>
      </c>
      <c r="J86" s="162" t="s">
        <v>855</v>
      </c>
      <c r="K86" s="3" t="s">
        <v>653</v>
      </c>
      <c r="L86" s="4"/>
    </row>
    <row r="87" spans="2:12">
      <c r="B87" s="3">
        <v>84</v>
      </c>
      <c r="C87" s="4" t="s">
        <v>563</v>
      </c>
      <c r="D87" s="3">
        <v>16120099</v>
      </c>
      <c r="E87" s="4"/>
      <c r="F87" s="65" t="s">
        <v>31</v>
      </c>
      <c r="G87" s="4" t="s">
        <v>695</v>
      </c>
      <c r="H87" s="10"/>
      <c r="I87" s="3" t="s">
        <v>515</v>
      </c>
      <c r="J87" s="162" t="s">
        <v>858</v>
      </c>
      <c r="K87" s="3" t="s">
        <v>653</v>
      </c>
      <c r="L87" s="4"/>
    </row>
    <row r="88" spans="2:12">
      <c r="B88" s="3">
        <v>85</v>
      </c>
      <c r="C88" s="4" t="s">
        <v>563</v>
      </c>
      <c r="D88" s="3">
        <v>16120100</v>
      </c>
      <c r="E88" s="4"/>
      <c r="F88" s="65" t="s">
        <v>31</v>
      </c>
      <c r="G88" s="4" t="s">
        <v>260</v>
      </c>
      <c r="I88" s="3" t="s">
        <v>33</v>
      </c>
      <c r="J88" s="168">
        <v>45996</v>
      </c>
      <c r="K88" s="3" t="s">
        <v>653</v>
      </c>
      <c r="L88" s="4"/>
    </row>
    <row r="89" spans="2:12">
      <c r="B89" s="3">
        <v>86</v>
      </c>
      <c r="C89" s="4" t="s">
        <v>563</v>
      </c>
      <c r="D89" s="3">
        <v>16120101</v>
      </c>
      <c r="E89" s="4"/>
      <c r="F89" s="65" t="s">
        <v>31</v>
      </c>
      <c r="G89" s="4" t="s">
        <v>827</v>
      </c>
      <c r="H89" s="10"/>
      <c r="I89" s="3" t="s">
        <v>33</v>
      </c>
      <c r="J89" s="168">
        <v>45996</v>
      </c>
      <c r="K89" s="3" t="s">
        <v>653</v>
      </c>
      <c r="L89" s="4"/>
    </row>
    <row r="90" spans="2:12">
      <c r="B90" s="3">
        <v>87</v>
      </c>
      <c r="C90" s="4" t="s">
        <v>563</v>
      </c>
      <c r="D90" s="3">
        <v>16120102</v>
      </c>
      <c r="E90" s="4"/>
      <c r="F90" s="65" t="s">
        <v>31</v>
      </c>
      <c r="G90" s="4" t="s">
        <v>695</v>
      </c>
      <c r="H90" s="10"/>
      <c r="I90" s="3" t="s">
        <v>33</v>
      </c>
      <c r="J90" s="168">
        <v>45996</v>
      </c>
      <c r="K90" s="3" t="s">
        <v>653</v>
      </c>
      <c r="L90" s="4"/>
    </row>
    <row r="91" spans="2:12">
      <c r="B91" s="3">
        <v>88</v>
      </c>
      <c r="C91" s="4" t="s">
        <v>563</v>
      </c>
      <c r="D91" s="3">
        <v>16120103</v>
      </c>
      <c r="E91" s="4"/>
      <c r="F91" s="65" t="s">
        <v>31</v>
      </c>
      <c r="G91" s="4"/>
      <c r="H91" s="10"/>
      <c r="I91" s="3"/>
      <c r="J91" s="3"/>
      <c r="K91" s="3"/>
      <c r="L91" s="4"/>
    </row>
    <row r="92" spans="2:12">
      <c r="B92" s="3">
        <v>89</v>
      </c>
      <c r="C92" s="4" t="s">
        <v>563</v>
      </c>
      <c r="D92" s="3">
        <v>16120104</v>
      </c>
      <c r="E92" s="4"/>
      <c r="F92" s="65" t="s">
        <v>31</v>
      </c>
      <c r="G92" s="4"/>
      <c r="H92" s="10"/>
      <c r="I92" s="3"/>
      <c r="J92" s="3"/>
      <c r="K92" s="3"/>
      <c r="L92" s="4"/>
    </row>
    <row r="93" spans="2:12">
      <c r="B93" s="3">
        <v>90</v>
      </c>
      <c r="C93" s="4" t="s">
        <v>563</v>
      </c>
      <c r="D93" s="3">
        <v>16120105</v>
      </c>
      <c r="E93" s="4"/>
      <c r="F93" s="65"/>
      <c r="G93" s="4"/>
      <c r="H93" s="10"/>
      <c r="I93" s="3"/>
      <c r="J93" s="3"/>
      <c r="K93" s="3"/>
      <c r="L93" s="4"/>
    </row>
    <row r="94" spans="2:12">
      <c r="B94" s="3">
        <v>91</v>
      </c>
      <c r="C94" s="4" t="s">
        <v>563</v>
      </c>
      <c r="D94" s="3">
        <v>16120106</v>
      </c>
      <c r="E94" s="4"/>
      <c r="F94" s="65"/>
      <c r="G94" s="4"/>
      <c r="H94" s="10"/>
      <c r="I94" s="3"/>
      <c r="J94" s="3"/>
      <c r="K94" s="3"/>
      <c r="L94" s="4"/>
    </row>
    <row r="95" spans="2:12">
      <c r="B95" s="3"/>
      <c r="C95" s="4"/>
      <c r="D95" s="3">
        <v>16120107</v>
      </c>
      <c r="E95" s="4"/>
      <c r="F95" s="65"/>
      <c r="G95" s="4"/>
      <c r="H95" s="10"/>
      <c r="I95" s="3"/>
      <c r="J95" s="3"/>
      <c r="K95" s="3"/>
      <c r="L95" s="4"/>
    </row>
    <row r="96" spans="2:12">
      <c r="B96" s="3"/>
      <c r="C96" s="4"/>
      <c r="D96" s="3">
        <v>16120108</v>
      </c>
      <c r="E96" s="4"/>
      <c r="F96" s="65"/>
      <c r="G96" s="4"/>
      <c r="H96" s="10"/>
      <c r="I96" s="3"/>
      <c r="J96" s="3"/>
      <c r="K96" s="3"/>
      <c r="L96" s="4"/>
    </row>
    <row r="97" spans="2:12">
      <c r="B97" s="3"/>
      <c r="C97" s="4"/>
      <c r="D97" s="3">
        <v>16120109</v>
      </c>
      <c r="E97" s="4"/>
      <c r="F97" s="65"/>
      <c r="G97" s="4"/>
      <c r="H97" s="10"/>
      <c r="I97" s="3"/>
      <c r="J97" s="3"/>
      <c r="K97" s="3"/>
      <c r="L97" s="4"/>
    </row>
    <row r="98" spans="2:12">
      <c r="D98" s="17">
        <v>16120110</v>
      </c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56" priority="1" operator="containsText" text="見積！">
      <formula>NOT(ISERROR(SEARCH("見積！",A1)))</formula>
    </cfRule>
  </conditionalFormatting>
  <conditionalFormatting sqref="A4:A1048576">
    <cfRule type="containsText" dxfId="55" priority="2" operator="containsText" text="着手">
      <formula>NOT(ISERROR(SEARCH("着手",A4)))</formula>
    </cfRule>
    <cfRule type="containsText" dxfId="54" priority="3" operator="containsText" text="見積完了">
      <formula>NOT(ISERROR(SEARCH("見積完了",A4)))</formula>
    </cfRule>
    <cfRule type="containsText" dxfId="53" priority="4" operator="containsText" text="中止">
      <formula>NOT(ISERROR(SEARCH("中止",A4)))</formula>
    </cfRule>
    <cfRule type="containsText" dxfId="52" priority="5" operator="containsText" text="保留">
      <formula>NOT(ISERROR(SEARCH("保留",A4)))</formula>
    </cfRule>
    <cfRule type="containsText" dxfId="51" priority="6" operator="containsText" text="進行中">
      <formula>NOT(ISERROR(SEARCH("進行中",A4)))</formula>
    </cfRule>
    <cfRule type="containsText" dxfId="50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A2 K1:L1048576 G2:G1048576 I1:I1048576 C1:C1048576" xr:uid="{4B8E4930-FE96-4DBC-9103-096DA0C956CB}"/>
    <dataValidation imeMode="off" allowBlank="1" showInputMessage="1" showErrorMessage="1" sqref="G1 J1:J1048576 D1:F1048576 B1:B1048576 H1:H1048576" xr:uid="{10E9721E-B779-4F81-9C94-017EF8DA72D7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CE3245-FC13-4BD3-805A-BA9114BE95AC}">
          <x14:formula1>
            <xm:f>タスク!$B$3:$B$14</xm:f>
          </x14:formula1>
          <xm:sqref>A4:A1048576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2944-8815-41F1-AE74-A83818AC7D57}">
  <sheetPr>
    <pageSetUpPr fitToPage="1"/>
  </sheetPr>
  <dimension ref="A1:M70"/>
  <sheetViews>
    <sheetView zoomScaleNormal="100" workbookViewId="0">
      <pane ySplit="3" topLeftCell="A4" activePane="bottomLeft" state="frozen"/>
      <selection activeCell="A11" sqref="A11"/>
      <selection pane="bottomLeft" activeCell="H4" sqref="H4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 t="s">
        <v>28</v>
      </c>
      <c r="B4" s="3">
        <v>1</v>
      </c>
      <c r="C4" s="4" t="s">
        <v>681</v>
      </c>
      <c r="D4" s="3">
        <v>16124001</v>
      </c>
      <c r="E4" s="4" t="s">
        <v>259</v>
      </c>
      <c r="F4" s="65" t="s">
        <v>31</v>
      </c>
      <c r="G4" s="4" t="s">
        <v>682</v>
      </c>
      <c r="H4" s="165"/>
      <c r="I4" s="3" t="s">
        <v>33</v>
      </c>
      <c r="J4" s="1">
        <v>45651</v>
      </c>
      <c r="K4" s="3" t="s">
        <v>653</v>
      </c>
    </row>
    <row r="5" spans="1:13">
      <c r="A5" s="17"/>
      <c r="B5" s="3">
        <v>2</v>
      </c>
      <c r="C5" s="4"/>
      <c r="D5" s="3">
        <v>16124002</v>
      </c>
      <c r="E5" s="4"/>
      <c r="F5" s="65"/>
      <c r="G5" s="4"/>
      <c r="H5" s="10"/>
      <c r="I5" s="3"/>
      <c r="J5" s="1"/>
      <c r="K5" s="3"/>
    </row>
    <row r="6" spans="1:13">
      <c r="A6" s="17"/>
      <c r="B6" s="3">
        <v>3</v>
      </c>
      <c r="C6" s="4"/>
      <c r="D6" s="3">
        <v>16124003</v>
      </c>
      <c r="E6" s="4"/>
      <c r="F6" s="65"/>
      <c r="G6" s="4"/>
      <c r="H6" s="10"/>
      <c r="I6" s="3"/>
      <c r="J6" s="1"/>
      <c r="K6" s="3"/>
    </row>
    <row r="7" spans="1:13">
      <c r="A7" s="17"/>
      <c r="B7" s="3">
        <v>4</v>
      </c>
      <c r="C7" s="4"/>
      <c r="D7" s="3">
        <v>16124004</v>
      </c>
      <c r="E7" s="4"/>
      <c r="F7" s="65"/>
      <c r="G7" s="4"/>
      <c r="H7" s="10"/>
      <c r="I7" s="3"/>
      <c r="J7" s="1"/>
      <c r="K7" s="3"/>
    </row>
    <row r="8" spans="1:13">
      <c r="A8" s="17"/>
      <c r="B8" s="3">
        <v>5</v>
      </c>
      <c r="C8" s="4"/>
      <c r="D8" s="3">
        <v>16124005</v>
      </c>
      <c r="E8" s="4"/>
      <c r="F8" s="65"/>
      <c r="G8" s="4"/>
      <c r="H8" s="10"/>
      <c r="I8" s="3"/>
      <c r="J8" s="1"/>
      <c r="K8" s="3"/>
    </row>
    <row r="9" spans="1:13">
      <c r="A9" s="17"/>
      <c r="B9" s="3">
        <v>6</v>
      </c>
      <c r="C9" s="4"/>
      <c r="D9" s="3">
        <v>16124006</v>
      </c>
      <c r="E9" s="4"/>
      <c r="F9" s="65"/>
      <c r="G9" s="4"/>
      <c r="H9" s="10"/>
      <c r="I9" s="3"/>
      <c r="J9" s="1"/>
      <c r="K9" s="3"/>
    </row>
    <row r="10" spans="1:13">
      <c r="A10" s="17"/>
      <c r="B10" s="3">
        <v>7</v>
      </c>
      <c r="C10" s="4"/>
      <c r="D10" s="3">
        <v>16124007</v>
      </c>
      <c r="E10" s="4"/>
      <c r="F10" s="65"/>
      <c r="G10" s="4"/>
      <c r="H10" s="10"/>
      <c r="I10" s="3"/>
      <c r="J10" s="1"/>
      <c r="K10" s="3"/>
    </row>
    <row r="11" spans="1:13">
      <c r="A11" s="17"/>
      <c r="B11" s="3">
        <v>8</v>
      </c>
      <c r="C11" s="4"/>
      <c r="D11" s="3">
        <v>16124008</v>
      </c>
      <c r="E11" s="4"/>
      <c r="F11" s="65"/>
      <c r="G11" s="4"/>
      <c r="H11" s="10"/>
      <c r="I11" s="3"/>
      <c r="J11" s="1"/>
      <c r="K11" s="3"/>
    </row>
    <row r="12" spans="1:13">
      <c r="A12" s="17"/>
      <c r="B12" s="3">
        <v>9</v>
      </c>
      <c r="C12" s="4"/>
      <c r="D12" s="3">
        <v>16124009</v>
      </c>
      <c r="E12" s="4"/>
      <c r="F12" s="65"/>
      <c r="G12" s="4"/>
      <c r="H12" s="10"/>
      <c r="I12" s="3"/>
      <c r="J12" s="1"/>
      <c r="K12" s="3"/>
    </row>
    <row r="13" spans="1:13">
      <c r="A13" s="17"/>
      <c r="B13" s="3">
        <v>10</v>
      </c>
      <c r="C13" s="4"/>
      <c r="D13" s="3">
        <v>16124010</v>
      </c>
      <c r="E13" s="4"/>
      <c r="F13" s="65"/>
      <c r="G13" s="4"/>
      <c r="H13" s="10"/>
      <c r="I13" s="3"/>
      <c r="J13" s="1"/>
      <c r="K13" s="3"/>
    </row>
    <row r="14" spans="1:13">
      <c r="A14" s="17"/>
      <c r="B14" s="3">
        <v>11</v>
      </c>
      <c r="C14" s="4"/>
      <c r="D14" s="3">
        <v>16124011</v>
      </c>
      <c r="E14" s="4"/>
      <c r="F14" s="65"/>
      <c r="G14" s="4"/>
      <c r="H14" s="10"/>
      <c r="I14" s="3"/>
      <c r="J14" s="1"/>
      <c r="K14" s="3"/>
    </row>
    <row r="15" spans="1:13">
      <c r="A15" s="17"/>
      <c r="B15" s="3">
        <v>12</v>
      </c>
      <c r="C15" s="4"/>
      <c r="D15" s="3">
        <v>16124012</v>
      </c>
      <c r="E15" s="4"/>
      <c r="F15" s="65"/>
      <c r="G15" s="4"/>
      <c r="H15" s="10"/>
      <c r="I15" s="3"/>
      <c r="J15" s="1"/>
      <c r="K15" s="3"/>
    </row>
    <row r="16" spans="1:13">
      <c r="A16" s="17"/>
      <c r="B16" s="3">
        <v>13</v>
      </c>
      <c r="C16" s="4"/>
      <c r="D16" s="3">
        <v>16124013</v>
      </c>
      <c r="E16" s="4"/>
      <c r="F16" s="65"/>
      <c r="G16" s="4"/>
      <c r="H16" s="10"/>
      <c r="I16" s="3"/>
      <c r="J16" s="1"/>
      <c r="K16" s="3"/>
    </row>
    <row r="17" spans="1:12">
      <c r="A17" s="17"/>
      <c r="B17" s="3">
        <v>14</v>
      </c>
      <c r="C17" s="4"/>
      <c r="D17" s="3">
        <v>16124014</v>
      </c>
      <c r="E17" s="4"/>
      <c r="F17" s="65"/>
      <c r="G17" s="4"/>
      <c r="H17" s="10"/>
      <c r="I17" s="3"/>
      <c r="J17" s="1"/>
      <c r="K17" s="3"/>
    </row>
    <row r="18" spans="1:12">
      <c r="A18" s="17"/>
      <c r="B18" s="3">
        <v>15</v>
      </c>
      <c r="C18" s="4"/>
      <c r="D18" s="3">
        <v>16124015</v>
      </c>
      <c r="E18" s="4"/>
      <c r="F18" s="65"/>
      <c r="G18" s="4"/>
      <c r="H18" s="10"/>
      <c r="I18" s="3"/>
      <c r="J18" s="1"/>
      <c r="K18" s="3"/>
    </row>
    <row r="19" spans="1:12">
      <c r="A19" s="17"/>
      <c r="B19" s="3">
        <v>16</v>
      </c>
      <c r="C19" s="4"/>
      <c r="D19" s="3">
        <v>16124016</v>
      </c>
      <c r="E19" s="4"/>
      <c r="F19" s="65"/>
      <c r="G19" s="4"/>
      <c r="H19" s="10"/>
      <c r="I19" s="3"/>
      <c r="J19" s="1"/>
      <c r="K19" s="3"/>
    </row>
    <row r="20" spans="1:12">
      <c r="A20" s="17"/>
      <c r="B20" s="3">
        <v>17</v>
      </c>
      <c r="C20" s="4"/>
      <c r="D20" s="3">
        <v>16124017</v>
      </c>
      <c r="E20" s="4"/>
      <c r="F20" s="65"/>
      <c r="G20" s="4"/>
      <c r="H20" s="10"/>
      <c r="I20" s="3"/>
      <c r="J20" s="1"/>
      <c r="K20" s="3"/>
    </row>
    <row r="21" spans="1:12">
      <c r="A21" s="17"/>
      <c r="B21" s="3">
        <v>18</v>
      </c>
      <c r="C21" s="4"/>
      <c r="D21" s="3">
        <v>16124018</v>
      </c>
      <c r="E21" s="4"/>
      <c r="F21" s="65"/>
      <c r="G21" s="4"/>
      <c r="H21" s="10"/>
      <c r="I21" s="3"/>
      <c r="J21" s="1"/>
      <c r="K21" s="3"/>
    </row>
    <row r="22" spans="1:12">
      <c r="A22" s="17"/>
      <c r="B22" s="3">
        <v>19</v>
      </c>
      <c r="C22" s="4"/>
      <c r="D22" s="3">
        <v>16124019</v>
      </c>
      <c r="E22" s="4"/>
      <c r="F22" s="65"/>
      <c r="G22" s="4"/>
      <c r="H22" s="10"/>
      <c r="I22" s="3"/>
      <c r="J22" s="1"/>
      <c r="K22" s="3"/>
    </row>
    <row r="23" spans="1:12">
      <c r="A23" s="17"/>
      <c r="B23" s="3">
        <v>20</v>
      </c>
      <c r="C23" s="4"/>
      <c r="D23" s="3">
        <v>16124020</v>
      </c>
      <c r="E23" s="4"/>
      <c r="F23" s="65"/>
      <c r="G23" s="4"/>
      <c r="H23" s="10"/>
      <c r="I23" s="3"/>
      <c r="J23" s="1"/>
      <c r="K23" s="3"/>
    </row>
    <row r="24" spans="1:12">
      <c r="A24" s="17"/>
      <c r="B24" s="3">
        <v>21</v>
      </c>
      <c r="C24" s="4"/>
      <c r="D24" s="3">
        <v>16124021</v>
      </c>
      <c r="E24" s="4"/>
      <c r="F24" s="65"/>
      <c r="G24" s="4"/>
      <c r="H24" s="10"/>
      <c r="I24" s="3"/>
      <c r="J24" s="1"/>
      <c r="K24" s="3"/>
    </row>
    <row r="25" spans="1:12">
      <c r="A25" s="17"/>
      <c r="B25" s="3">
        <v>22</v>
      </c>
      <c r="C25" s="4"/>
      <c r="D25" s="3">
        <v>16124022</v>
      </c>
      <c r="E25" s="4"/>
      <c r="F25" s="65"/>
      <c r="G25" s="4"/>
      <c r="H25" s="10"/>
      <c r="I25" s="3"/>
      <c r="J25" s="1"/>
      <c r="K25" s="3"/>
    </row>
    <row r="26" spans="1:12">
      <c r="A26" s="17"/>
      <c r="B26" s="3">
        <v>23</v>
      </c>
      <c r="C26" s="4"/>
      <c r="D26" s="3">
        <v>16124023</v>
      </c>
      <c r="E26" s="4"/>
      <c r="F26" s="65"/>
      <c r="G26" s="4"/>
      <c r="H26" s="10"/>
      <c r="I26" s="3"/>
      <c r="J26" s="1"/>
      <c r="K26" s="3"/>
    </row>
    <row r="27" spans="1:12">
      <c r="A27" s="149"/>
      <c r="B27" s="3">
        <v>24</v>
      </c>
      <c r="C27" s="151"/>
      <c r="D27" s="3">
        <v>16124024</v>
      </c>
      <c r="E27" s="151"/>
      <c r="F27" s="153"/>
      <c r="G27" s="151"/>
      <c r="H27" s="154"/>
      <c r="I27" s="150"/>
      <c r="J27" s="155"/>
      <c r="K27" s="150"/>
    </row>
    <row r="28" spans="1:12">
      <c r="A28" s="3"/>
      <c r="B28" s="3"/>
      <c r="C28" s="4"/>
      <c r="D28" s="3"/>
      <c r="E28" s="4"/>
      <c r="F28" s="65"/>
      <c r="G28" s="4"/>
      <c r="H28" s="10"/>
      <c r="I28" s="3"/>
      <c r="J28" s="1"/>
      <c r="K28" s="3"/>
      <c r="L28" s="4"/>
    </row>
    <row r="29" spans="1:12">
      <c r="A29" s="3"/>
      <c r="B29" s="3"/>
      <c r="C29" s="4"/>
      <c r="D29" s="3"/>
      <c r="E29" s="4"/>
      <c r="F29" s="65"/>
      <c r="G29" s="4"/>
      <c r="H29" s="10"/>
      <c r="I29" s="3"/>
      <c r="J29" s="1"/>
      <c r="K29" s="3"/>
      <c r="L29" s="4"/>
    </row>
    <row r="30" spans="1:12">
      <c r="A30" s="3"/>
      <c r="B30" s="3"/>
      <c r="C30" s="4"/>
      <c r="D30" s="3"/>
      <c r="E30" s="4"/>
      <c r="F30" s="65"/>
      <c r="G30" s="4"/>
      <c r="H30" s="10"/>
      <c r="I30" s="3"/>
      <c r="J30" s="1"/>
      <c r="K30" s="3"/>
      <c r="L30" s="4"/>
    </row>
    <row r="31" spans="1:12">
      <c r="A31" s="3"/>
      <c r="B31" s="3"/>
      <c r="C31" s="151"/>
      <c r="D31" s="3"/>
      <c r="E31" s="4"/>
      <c r="F31" s="65"/>
      <c r="G31" s="151"/>
      <c r="H31" s="154"/>
      <c r="I31" s="150"/>
      <c r="J31" s="155"/>
      <c r="K31" s="150"/>
      <c r="L31" s="4"/>
    </row>
    <row r="32" spans="1:12">
      <c r="A32" s="3"/>
      <c r="B32" s="3"/>
      <c r="C32" s="4"/>
      <c r="D32" s="3"/>
      <c r="E32" s="4"/>
      <c r="F32" s="65"/>
      <c r="G32" s="4"/>
      <c r="H32" s="10"/>
      <c r="I32" s="3"/>
      <c r="J32" s="1"/>
      <c r="K32" s="3"/>
      <c r="L32" s="4"/>
    </row>
    <row r="33" spans="1:12">
      <c r="A33" s="3"/>
      <c r="B33" s="3"/>
      <c r="C33" s="151"/>
      <c r="D33" s="3"/>
      <c r="E33" s="4"/>
      <c r="F33" s="65"/>
      <c r="G33" s="151"/>
      <c r="H33" s="154"/>
      <c r="I33" s="150"/>
      <c r="J33" s="155"/>
      <c r="K33" s="150"/>
      <c r="L33" s="4"/>
    </row>
    <row r="34" spans="1:12">
      <c r="A34" s="3"/>
      <c r="B34" s="3"/>
      <c r="C34" s="151"/>
      <c r="D34" s="3"/>
      <c r="E34" s="4"/>
      <c r="F34" s="65"/>
      <c r="G34" s="4"/>
      <c r="H34" s="10"/>
      <c r="I34" s="150"/>
      <c r="J34" s="155"/>
      <c r="K34" s="150"/>
      <c r="L34" s="4"/>
    </row>
    <row r="35" spans="1:12">
      <c r="A35" s="3"/>
      <c r="B35" s="3"/>
      <c r="C35" s="151"/>
      <c r="D35" s="3"/>
      <c r="E35" s="4"/>
      <c r="F35" s="65"/>
      <c r="G35" s="151"/>
      <c r="H35" s="10"/>
      <c r="I35" s="150"/>
      <c r="J35" s="155"/>
      <c r="K35" s="150"/>
      <c r="L35" s="4"/>
    </row>
    <row r="36" spans="1:12">
      <c r="A36" s="3"/>
      <c r="B36" s="3"/>
      <c r="C36" s="4"/>
      <c r="D36" s="3"/>
      <c r="E36" s="4"/>
      <c r="F36" s="65"/>
      <c r="G36" s="4"/>
      <c r="H36" s="10"/>
      <c r="I36" s="150"/>
      <c r="J36" s="155"/>
      <c r="K36" s="150"/>
      <c r="L36" s="4"/>
    </row>
    <row r="37" spans="1:12">
      <c r="A37" s="3"/>
      <c r="B37" s="3"/>
      <c r="C37" s="4"/>
      <c r="D37" s="3"/>
      <c r="E37" s="4"/>
      <c r="F37" s="65"/>
      <c r="G37" s="151"/>
      <c r="H37" s="10"/>
      <c r="I37" s="150"/>
      <c r="J37" s="155"/>
      <c r="K37" s="150"/>
      <c r="L37" s="4"/>
    </row>
    <row r="38" spans="1:12">
      <c r="A38" s="3"/>
      <c r="B38" s="3"/>
      <c r="C38" s="4"/>
      <c r="D38" s="3"/>
      <c r="E38" s="4"/>
      <c r="F38" s="65"/>
      <c r="G38" s="4"/>
      <c r="H38" s="10"/>
      <c r="I38" s="150"/>
      <c r="J38" s="155"/>
      <c r="K38" s="150"/>
      <c r="L38" s="4"/>
    </row>
    <row r="39" spans="1:12">
      <c r="A39" s="3"/>
      <c r="B39" s="3"/>
      <c r="C39" s="4"/>
      <c r="D39" s="3"/>
      <c r="E39" s="4"/>
      <c r="F39" s="65"/>
      <c r="G39" s="151"/>
      <c r="H39" s="10"/>
      <c r="I39" s="150"/>
      <c r="J39" s="155"/>
      <c r="K39" s="150"/>
      <c r="L39" s="4"/>
    </row>
    <row r="40" spans="1:12">
      <c r="A40" s="3"/>
      <c r="B40" s="3"/>
      <c r="C40" s="4"/>
      <c r="D40" s="3"/>
      <c r="E40" s="4"/>
      <c r="F40" s="65"/>
      <c r="G40" s="4"/>
      <c r="H40" s="10"/>
      <c r="I40" s="150"/>
      <c r="J40" s="155"/>
      <c r="K40" s="150"/>
      <c r="L40" s="4"/>
    </row>
    <row r="41" spans="1:12">
      <c r="A41" s="3"/>
      <c r="B41" s="3"/>
      <c r="C41" s="4"/>
      <c r="D41" s="3"/>
      <c r="E41" s="4"/>
      <c r="F41" s="65"/>
      <c r="G41" s="151"/>
      <c r="H41" s="10"/>
      <c r="I41" s="150"/>
      <c r="J41" s="155"/>
      <c r="K41" s="150"/>
      <c r="L41" s="4"/>
    </row>
    <row r="42" spans="1:12">
      <c r="A42" s="3"/>
      <c r="B42" s="3"/>
      <c r="C42" s="4"/>
      <c r="D42" s="3"/>
      <c r="E42" s="4"/>
      <c r="F42" s="65"/>
      <c r="G42" s="4"/>
      <c r="H42" s="10"/>
      <c r="I42" s="150"/>
      <c r="J42" s="155"/>
      <c r="K42" s="150"/>
      <c r="L42" s="4"/>
    </row>
    <row r="43" spans="1:12">
      <c r="A43" s="3"/>
      <c r="B43" s="3"/>
      <c r="C43" s="4"/>
      <c r="D43" s="3"/>
      <c r="E43" s="4"/>
      <c r="F43" s="65"/>
      <c r="G43" s="151"/>
      <c r="H43" s="10"/>
      <c r="I43" s="150"/>
      <c r="J43" s="155"/>
      <c r="K43" s="150"/>
      <c r="L43" s="4"/>
    </row>
    <row r="44" spans="1:12">
      <c r="A44" s="3"/>
      <c r="B44" s="3"/>
      <c r="C44" s="4"/>
      <c r="D44" s="3"/>
      <c r="E44" s="4"/>
      <c r="F44" s="65"/>
      <c r="G44" s="4"/>
      <c r="H44" s="10"/>
      <c r="I44" s="3"/>
      <c r="J44" s="144"/>
      <c r="K44" s="3"/>
      <c r="L44" s="4"/>
    </row>
    <row r="45" spans="1:12">
      <c r="A45" s="3"/>
      <c r="B45" s="3"/>
      <c r="C45" s="4"/>
      <c r="D45" s="3"/>
      <c r="E45" s="4"/>
      <c r="F45" s="65"/>
      <c r="G45" s="151"/>
      <c r="H45" s="10"/>
      <c r="I45" s="3"/>
      <c r="J45" s="144"/>
      <c r="K45" s="3"/>
      <c r="L45" s="4"/>
    </row>
    <row r="46" spans="1:12">
      <c r="A46" s="3"/>
      <c r="B46" s="3"/>
      <c r="C46" s="4"/>
      <c r="D46" s="3"/>
      <c r="E46" s="4"/>
      <c r="F46" s="65"/>
      <c r="G46" s="4"/>
      <c r="H46" s="10"/>
      <c r="I46" s="3"/>
      <c r="J46" s="144"/>
      <c r="K46" s="3"/>
      <c r="L46" s="4"/>
    </row>
    <row r="47" spans="1:12">
      <c r="A47" s="3"/>
      <c r="B47" s="3"/>
      <c r="C47" s="4"/>
      <c r="D47" s="3"/>
      <c r="E47" s="4"/>
      <c r="F47" s="65"/>
      <c r="G47" s="151"/>
      <c r="H47" s="10"/>
      <c r="I47" s="3"/>
      <c r="J47" s="144"/>
      <c r="K47" s="3"/>
      <c r="L47" s="4"/>
    </row>
    <row r="48" spans="1:12">
      <c r="A48" s="3"/>
      <c r="B48" s="3"/>
      <c r="C48" s="4"/>
      <c r="D48" s="3"/>
      <c r="E48" s="4"/>
      <c r="F48" s="65"/>
      <c r="G48" s="4"/>
      <c r="H48" s="10"/>
      <c r="I48" s="3"/>
      <c r="J48" s="144"/>
      <c r="K48" s="3"/>
      <c r="L48" s="4"/>
    </row>
    <row r="49" spans="1:12">
      <c r="A49" s="3"/>
      <c r="B49" s="3"/>
      <c r="C49" s="4"/>
      <c r="D49" s="3"/>
      <c r="E49" s="4"/>
      <c r="F49" s="65"/>
      <c r="G49" s="151"/>
      <c r="H49" s="10"/>
      <c r="I49" s="3"/>
      <c r="J49" s="144"/>
      <c r="K49" s="3"/>
      <c r="L49" s="4"/>
    </row>
    <row r="50" spans="1:12">
      <c r="A50" s="3"/>
      <c r="B50" s="3"/>
      <c r="C50" s="4"/>
      <c r="D50" s="3"/>
      <c r="E50" s="4"/>
      <c r="F50" s="65"/>
      <c r="G50" s="4"/>
      <c r="H50" s="10"/>
      <c r="I50" s="3"/>
      <c r="J50" s="144"/>
      <c r="K50" s="3"/>
      <c r="L50" s="4"/>
    </row>
    <row r="51" spans="1:12">
      <c r="A51" s="3"/>
      <c r="B51" s="3"/>
      <c r="C51" s="4"/>
      <c r="D51" s="3"/>
      <c r="E51" s="4"/>
      <c r="F51" s="65"/>
      <c r="G51" s="151"/>
      <c r="H51" s="10"/>
      <c r="I51" s="3"/>
      <c r="J51" s="144"/>
      <c r="K51" s="3"/>
      <c r="L51" s="4"/>
    </row>
    <row r="52" spans="1:12">
      <c r="A52" s="3"/>
      <c r="B52" s="3"/>
      <c r="C52" s="4"/>
      <c r="D52" s="3"/>
      <c r="E52" s="4"/>
      <c r="F52" s="65"/>
      <c r="G52" s="4"/>
      <c r="H52" s="10"/>
      <c r="I52" s="3"/>
      <c r="J52" s="144"/>
      <c r="K52" s="3"/>
      <c r="L52" s="4"/>
    </row>
    <row r="53" spans="1:12">
      <c r="A53" s="3"/>
      <c r="B53" s="3"/>
      <c r="C53" s="4"/>
      <c r="D53" s="3"/>
      <c r="E53" s="4"/>
      <c r="F53" s="65"/>
      <c r="G53" s="151"/>
      <c r="H53" s="10"/>
      <c r="I53" s="3"/>
      <c r="J53" s="144"/>
      <c r="K53" s="3"/>
      <c r="L53" s="4"/>
    </row>
    <row r="54" spans="1:12">
      <c r="A54" s="3"/>
      <c r="B54" s="3"/>
      <c r="C54" s="4"/>
      <c r="D54" s="3"/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3">
        <v>16120067</v>
      </c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3">
        <v>16120068</v>
      </c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3">
        <v>16120069</v>
      </c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3">
        <v>16120070</v>
      </c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3">
        <v>16120071</v>
      </c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3">
        <v>16120072</v>
      </c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3">
        <v>16120073</v>
      </c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3">
        <v>16120074</v>
      </c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3">
        <v>16120075</v>
      </c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3">
        <v>16120076</v>
      </c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3">
        <v>16120077</v>
      </c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3">
        <v>16120078</v>
      </c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3">
        <v>16120079</v>
      </c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3">
        <v>16120080</v>
      </c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3">
        <v>16120081</v>
      </c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3">
        <v>16120082</v>
      </c>
      <c r="E70" s="4"/>
      <c r="F70" s="65"/>
      <c r="G70" s="4"/>
      <c r="H70" s="10"/>
      <c r="I70" s="3"/>
      <c r="J70" s="3"/>
      <c r="K70" s="3"/>
      <c r="L7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49" priority="1" operator="containsText" text="見積！">
      <formula>NOT(ISERROR(SEARCH("見積！",A1)))</formula>
    </cfRule>
  </conditionalFormatting>
  <conditionalFormatting sqref="A4:A1048576">
    <cfRule type="containsText" dxfId="48" priority="2" operator="containsText" text="着手">
      <formula>NOT(ISERROR(SEARCH("着手",A4)))</formula>
    </cfRule>
    <cfRule type="containsText" dxfId="47" priority="3" operator="containsText" text="見積完了">
      <formula>NOT(ISERROR(SEARCH("見積完了",A4)))</formula>
    </cfRule>
    <cfRule type="containsText" dxfId="46" priority="4" operator="containsText" text="中止">
      <formula>NOT(ISERROR(SEARCH("中止",A4)))</formula>
    </cfRule>
    <cfRule type="containsText" dxfId="45" priority="5" operator="containsText" text="保留">
      <formula>NOT(ISERROR(SEARCH("保留",A4)))</formula>
    </cfRule>
    <cfRule type="containsText" dxfId="44" priority="6" operator="containsText" text="進行中">
      <formula>NOT(ISERROR(SEARCH("進行中",A4)))</formula>
    </cfRule>
    <cfRule type="containsText" dxfId="43" priority="7" operator="containsText" text="完了">
      <formula>NOT(ISERROR(SEARCH("完了",A4)))</formula>
    </cfRule>
  </conditionalFormatting>
  <dataValidations count="2">
    <dataValidation imeMode="off" allowBlank="1" showInputMessage="1" showErrorMessage="1" sqref="G1 D1:F1048576 H1:H1048576 J1:J1048576 B1:B1048576" xr:uid="{F749B7AF-DAD9-48E6-8B46-319124E87169}"/>
    <dataValidation imeMode="on" allowBlank="1" showInputMessage="1" showErrorMessage="1" sqref="A2 C1:C1048576 G2:G1048576 I1:I1048576 K1:L1048576" xr:uid="{04B99A6F-B2D7-402E-B3AA-FD04FF7B5222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E3EA8E-E9EF-4D3E-B280-E28B64E782B0}">
          <x14:formula1>
            <xm:f>タスク!$B$3:$B$14</xm:f>
          </x14:formula1>
          <xm:sqref>A4:A1048576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DEC0-016B-4A27-913F-252E2949B612}">
  <sheetPr>
    <pageSetUpPr fitToPage="1"/>
  </sheetPr>
  <dimension ref="A1:M70"/>
  <sheetViews>
    <sheetView zoomScaleNormal="100" workbookViewId="0">
      <pane ySplit="3" topLeftCell="A4" activePane="bottomLeft" state="frozen"/>
      <selection activeCell="A11" sqref="A11"/>
      <selection pane="bottomLeft" activeCell="H17" sqref="H4:H17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/>
      <c r="B4" s="3">
        <v>1</v>
      </c>
      <c r="C4" s="4" t="s">
        <v>685</v>
      </c>
      <c r="D4" s="3">
        <v>16125001</v>
      </c>
      <c r="E4" s="4" t="s">
        <v>259</v>
      </c>
      <c r="F4" s="65" t="s">
        <v>31</v>
      </c>
      <c r="G4" s="4" t="s">
        <v>687</v>
      </c>
      <c r="H4" s="165"/>
      <c r="I4" s="3" t="s">
        <v>33</v>
      </c>
      <c r="J4" s="1">
        <v>45679</v>
      </c>
      <c r="K4" s="3" t="s">
        <v>653</v>
      </c>
      <c r="L4" s="5" t="s">
        <v>689</v>
      </c>
    </row>
    <row r="5" spans="1:13">
      <c r="A5" s="17"/>
      <c r="B5" s="3">
        <v>2</v>
      </c>
      <c r="C5" s="4" t="s">
        <v>685</v>
      </c>
      <c r="D5" s="3">
        <v>16125002</v>
      </c>
      <c r="E5" s="4"/>
      <c r="F5" s="65"/>
      <c r="G5" s="4" t="s">
        <v>687</v>
      </c>
      <c r="H5" s="10"/>
      <c r="I5" s="3" t="s">
        <v>74</v>
      </c>
      <c r="J5" s="1">
        <v>45679</v>
      </c>
      <c r="K5" s="3" t="s">
        <v>653</v>
      </c>
      <c r="L5" s="5" t="s">
        <v>688</v>
      </c>
    </row>
    <row r="6" spans="1:13">
      <c r="A6" s="17"/>
      <c r="B6" s="3">
        <v>3</v>
      </c>
      <c r="C6" s="4" t="s">
        <v>685</v>
      </c>
      <c r="D6" s="3">
        <v>16125003</v>
      </c>
      <c r="E6" s="4"/>
      <c r="F6" s="65"/>
      <c r="G6" s="4" t="s">
        <v>687</v>
      </c>
      <c r="H6" s="10"/>
      <c r="I6" s="3" t="s">
        <v>74</v>
      </c>
      <c r="J6" s="1">
        <v>45700</v>
      </c>
      <c r="K6" s="3" t="s">
        <v>653</v>
      </c>
      <c r="L6" s="5" t="s">
        <v>688</v>
      </c>
    </row>
    <row r="7" spans="1:13">
      <c r="A7" s="17"/>
      <c r="B7" s="3">
        <v>4</v>
      </c>
      <c r="C7" s="4" t="s">
        <v>685</v>
      </c>
      <c r="D7" s="3">
        <v>16125004</v>
      </c>
      <c r="E7" s="4"/>
      <c r="F7" s="65"/>
      <c r="G7" s="4" t="s">
        <v>810</v>
      </c>
      <c r="H7" s="10"/>
      <c r="I7" s="3"/>
      <c r="J7" s="1">
        <v>45867</v>
      </c>
      <c r="K7" s="3" t="s">
        <v>653</v>
      </c>
    </row>
    <row r="8" spans="1:13">
      <c r="A8" s="17"/>
      <c r="B8" s="3">
        <v>5</v>
      </c>
      <c r="C8" s="4"/>
      <c r="D8" s="3">
        <v>16125005</v>
      </c>
      <c r="E8" s="4"/>
      <c r="F8" s="65" t="s">
        <v>811</v>
      </c>
      <c r="G8" s="4" t="s">
        <v>810</v>
      </c>
      <c r="H8" s="10"/>
      <c r="I8" s="3"/>
      <c r="J8" s="1">
        <v>45867</v>
      </c>
      <c r="K8" s="3" t="s">
        <v>653</v>
      </c>
    </row>
    <row r="9" spans="1:13">
      <c r="A9" s="17"/>
      <c r="B9" s="3">
        <v>6</v>
      </c>
      <c r="C9" s="4"/>
      <c r="D9" s="3">
        <v>16125006</v>
      </c>
      <c r="E9" s="4"/>
      <c r="F9" s="65" t="s">
        <v>812</v>
      </c>
      <c r="G9" s="4" t="s">
        <v>810</v>
      </c>
      <c r="H9" s="10"/>
      <c r="I9" s="3"/>
      <c r="J9" s="1">
        <v>45867</v>
      </c>
      <c r="K9" s="3" t="s">
        <v>653</v>
      </c>
    </row>
    <row r="10" spans="1:13">
      <c r="A10" s="17"/>
      <c r="B10" s="3">
        <v>7</v>
      </c>
      <c r="C10" s="4"/>
      <c r="D10" s="3">
        <v>16125007</v>
      </c>
      <c r="E10" s="4"/>
      <c r="F10" s="65" t="s">
        <v>813</v>
      </c>
      <c r="G10" s="4" t="s">
        <v>810</v>
      </c>
      <c r="H10" s="10"/>
      <c r="I10" s="3"/>
      <c r="J10" s="1">
        <v>45867</v>
      </c>
      <c r="K10" s="3" t="s">
        <v>653</v>
      </c>
    </row>
    <row r="11" spans="1:13">
      <c r="A11" s="17"/>
      <c r="B11" s="3">
        <v>8</v>
      </c>
      <c r="C11" s="4"/>
      <c r="D11" s="3">
        <v>16125008</v>
      </c>
      <c r="E11" s="4"/>
      <c r="F11" s="65" t="s">
        <v>814</v>
      </c>
      <c r="G11" s="4" t="s">
        <v>810</v>
      </c>
      <c r="H11" s="10"/>
      <c r="I11" s="3"/>
      <c r="J11" s="1">
        <v>45867</v>
      </c>
      <c r="K11" s="3" t="s">
        <v>653</v>
      </c>
    </row>
    <row r="12" spans="1:13">
      <c r="A12" s="17"/>
      <c r="B12" s="3">
        <v>9</v>
      </c>
      <c r="C12" s="4" t="s">
        <v>685</v>
      </c>
      <c r="D12" s="3">
        <v>16125009</v>
      </c>
      <c r="E12" s="4"/>
      <c r="F12" s="65" t="s">
        <v>811</v>
      </c>
      <c r="G12" s="4" t="s">
        <v>853</v>
      </c>
      <c r="H12" s="10"/>
      <c r="I12" s="3" t="s">
        <v>845</v>
      </c>
      <c r="J12" s="144" t="s">
        <v>846</v>
      </c>
      <c r="K12" s="3" t="s">
        <v>847</v>
      </c>
    </row>
    <row r="13" spans="1:13">
      <c r="A13" s="17"/>
      <c r="B13" s="3">
        <v>10</v>
      </c>
      <c r="C13" s="4" t="s">
        <v>685</v>
      </c>
      <c r="D13" s="3">
        <v>16125010</v>
      </c>
      <c r="E13" s="4"/>
      <c r="F13" s="65" t="s">
        <v>848</v>
      </c>
      <c r="G13" s="4" t="s">
        <v>853</v>
      </c>
      <c r="H13" s="10"/>
      <c r="I13" s="3" t="s">
        <v>478</v>
      </c>
      <c r="J13" s="144" t="s">
        <v>846</v>
      </c>
      <c r="K13" s="3" t="s">
        <v>477</v>
      </c>
    </row>
    <row r="14" spans="1:13">
      <c r="A14" s="17"/>
      <c r="B14" s="3">
        <v>11</v>
      </c>
      <c r="C14" s="4" t="s">
        <v>685</v>
      </c>
      <c r="D14" s="3">
        <v>16125011</v>
      </c>
      <c r="E14" s="4"/>
      <c r="F14" s="65" t="s">
        <v>849</v>
      </c>
      <c r="G14" s="4" t="s">
        <v>853</v>
      </c>
      <c r="H14" s="10"/>
      <c r="I14" s="3" t="s">
        <v>478</v>
      </c>
      <c r="J14" s="144" t="s">
        <v>846</v>
      </c>
      <c r="K14" s="3" t="s">
        <v>477</v>
      </c>
    </row>
    <row r="15" spans="1:13">
      <c r="A15" s="17"/>
      <c r="B15" s="3">
        <v>12</v>
      </c>
      <c r="C15" s="4" t="s">
        <v>685</v>
      </c>
      <c r="D15" s="3">
        <v>16125012</v>
      </c>
      <c r="E15" s="4"/>
      <c r="F15" s="65" t="s">
        <v>850</v>
      </c>
      <c r="G15" s="4" t="s">
        <v>853</v>
      </c>
      <c r="H15" s="10"/>
      <c r="I15" s="3" t="s">
        <v>478</v>
      </c>
      <c r="J15" s="144" t="s">
        <v>846</v>
      </c>
      <c r="K15" s="3" t="s">
        <v>477</v>
      </c>
    </row>
    <row r="16" spans="1:13">
      <c r="A16" s="17"/>
      <c r="B16" s="3">
        <v>13</v>
      </c>
      <c r="C16" s="4" t="s">
        <v>685</v>
      </c>
      <c r="D16" s="3">
        <v>16125013</v>
      </c>
      <c r="E16" s="4"/>
      <c r="F16" s="65" t="s">
        <v>851</v>
      </c>
      <c r="G16" s="4" t="s">
        <v>853</v>
      </c>
      <c r="H16" s="10"/>
      <c r="I16" s="3" t="s">
        <v>478</v>
      </c>
      <c r="J16" s="144" t="s">
        <v>846</v>
      </c>
      <c r="K16" s="3" t="s">
        <v>477</v>
      </c>
    </row>
    <row r="17" spans="1:12">
      <c r="A17" s="17"/>
      <c r="B17" s="3">
        <v>14</v>
      </c>
      <c r="C17" s="4" t="s">
        <v>685</v>
      </c>
      <c r="D17" s="3">
        <v>16125014</v>
      </c>
      <c r="E17" s="4"/>
      <c r="F17" s="65" t="s">
        <v>852</v>
      </c>
      <c r="G17" s="4" t="s">
        <v>853</v>
      </c>
      <c r="H17" s="10"/>
      <c r="I17" s="3" t="s">
        <v>478</v>
      </c>
      <c r="J17" s="144" t="s">
        <v>846</v>
      </c>
      <c r="K17" s="3" t="s">
        <v>477</v>
      </c>
    </row>
    <row r="18" spans="1:12">
      <c r="A18" s="17"/>
      <c r="B18" s="3">
        <v>15</v>
      </c>
      <c r="C18" s="4"/>
      <c r="D18" s="3">
        <v>16125015</v>
      </c>
      <c r="E18" s="4"/>
      <c r="F18" s="65"/>
      <c r="G18" s="4"/>
      <c r="H18" s="10"/>
      <c r="I18" s="3"/>
      <c r="J18" s="1"/>
      <c r="K18" s="3"/>
    </row>
    <row r="19" spans="1:12">
      <c r="A19" s="17"/>
      <c r="B19" s="3">
        <v>16</v>
      </c>
      <c r="C19" s="4"/>
      <c r="D19" s="3">
        <v>16125016</v>
      </c>
      <c r="E19" s="4"/>
      <c r="F19" s="65"/>
      <c r="G19" s="4"/>
      <c r="H19" s="10"/>
      <c r="I19" s="3"/>
      <c r="J19" s="1"/>
      <c r="K19" s="3"/>
    </row>
    <row r="20" spans="1:12">
      <c r="A20" s="17"/>
      <c r="B20" s="3">
        <v>17</v>
      </c>
      <c r="C20" s="4"/>
      <c r="D20" s="3">
        <v>16125017</v>
      </c>
      <c r="E20" s="4"/>
      <c r="F20" s="65"/>
      <c r="G20" s="4"/>
      <c r="H20" s="10"/>
      <c r="I20" s="3"/>
      <c r="J20" s="1"/>
      <c r="K20" s="3"/>
    </row>
    <row r="21" spans="1:12">
      <c r="A21" s="17"/>
      <c r="B21" s="3">
        <v>18</v>
      </c>
      <c r="C21" s="4"/>
      <c r="D21" s="3">
        <v>16125018</v>
      </c>
      <c r="E21" s="4"/>
      <c r="F21" s="65"/>
      <c r="G21" s="4"/>
      <c r="H21" s="10"/>
      <c r="I21" s="3"/>
      <c r="J21" s="1"/>
      <c r="K21" s="3"/>
    </row>
    <row r="22" spans="1:12">
      <c r="A22" s="17"/>
      <c r="B22" s="3">
        <v>19</v>
      </c>
      <c r="C22" s="4"/>
      <c r="D22" s="3">
        <v>16125019</v>
      </c>
      <c r="E22" s="4"/>
      <c r="F22" s="65"/>
      <c r="G22" s="4"/>
      <c r="H22" s="10"/>
      <c r="I22" s="3"/>
      <c r="J22" s="1"/>
      <c r="K22" s="3"/>
    </row>
    <row r="23" spans="1:12">
      <c r="A23" s="17"/>
      <c r="B23" s="3">
        <v>20</v>
      </c>
      <c r="C23" s="4"/>
      <c r="D23" s="3">
        <v>16125020</v>
      </c>
      <c r="E23" s="4"/>
      <c r="F23" s="65"/>
      <c r="G23" s="4"/>
      <c r="H23" s="10"/>
      <c r="I23" s="3"/>
      <c r="J23" s="1"/>
      <c r="K23" s="3"/>
    </row>
    <row r="24" spans="1:12">
      <c r="A24" s="17"/>
      <c r="B24" s="3">
        <v>21</v>
      </c>
      <c r="C24" s="4"/>
      <c r="D24" s="3">
        <v>16125021</v>
      </c>
      <c r="E24" s="4"/>
      <c r="F24" s="65"/>
      <c r="G24" s="4"/>
      <c r="H24" s="10"/>
      <c r="I24" s="3"/>
      <c r="J24" s="1"/>
      <c r="K24" s="3"/>
    </row>
    <row r="25" spans="1:12">
      <c r="A25" s="17"/>
      <c r="B25" s="3">
        <v>22</v>
      </c>
      <c r="C25" s="4"/>
      <c r="D25" s="3">
        <v>16125022</v>
      </c>
      <c r="E25" s="4"/>
      <c r="F25" s="65"/>
      <c r="G25" s="4"/>
      <c r="H25" s="10"/>
      <c r="I25" s="3"/>
      <c r="J25" s="1"/>
      <c r="K25" s="3"/>
    </row>
    <row r="26" spans="1:12">
      <c r="A26" s="17"/>
      <c r="B26" s="3">
        <v>23</v>
      </c>
      <c r="C26" s="4"/>
      <c r="D26" s="3">
        <v>16125023</v>
      </c>
      <c r="E26" s="4"/>
      <c r="F26" s="65"/>
      <c r="G26" s="4"/>
      <c r="H26" s="10"/>
      <c r="I26" s="3"/>
      <c r="J26" s="1"/>
      <c r="K26" s="3"/>
    </row>
    <row r="27" spans="1:12">
      <c r="A27" s="149"/>
      <c r="B27" s="3">
        <v>24</v>
      </c>
      <c r="C27" s="151"/>
      <c r="D27" s="3">
        <v>16125024</v>
      </c>
      <c r="E27" s="151"/>
      <c r="F27" s="153"/>
      <c r="G27" s="151"/>
      <c r="H27" s="154"/>
      <c r="I27" s="150"/>
      <c r="J27" s="155"/>
      <c r="K27" s="150"/>
    </row>
    <row r="28" spans="1:12">
      <c r="A28" s="3"/>
      <c r="B28" s="3"/>
      <c r="C28" s="4"/>
      <c r="D28" s="3"/>
      <c r="E28" s="4"/>
      <c r="F28" s="65"/>
      <c r="G28" s="4"/>
      <c r="H28" s="10"/>
      <c r="I28" s="3"/>
      <c r="J28" s="1"/>
      <c r="K28" s="3"/>
      <c r="L28" s="4"/>
    </row>
    <row r="29" spans="1:12">
      <c r="A29" s="3"/>
      <c r="B29" s="3"/>
      <c r="C29" s="4"/>
      <c r="D29" s="3"/>
      <c r="E29" s="4"/>
      <c r="F29" s="65"/>
      <c r="G29" s="4"/>
      <c r="H29" s="10"/>
      <c r="I29" s="3"/>
      <c r="J29" s="1"/>
      <c r="K29" s="3"/>
      <c r="L29" s="4"/>
    </row>
    <row r="30" spans="1:12">
      <c r="A30" s="3"/>
      <c r="B30" s="3"/>
      <c r="C30" s="4"/>
      <c r="D30" s="3"/>
      <c r="E30" s="4"/>
      <c r="F30" s="65"/>
      <c r="G30" s="4"/>
      <c r="H30" s="10"/>
      <c r="I30" s="3"/>
      <c r="J30" s="1"/>
      <c r="K30" s="3"/>
      <c r="L30" s="4"/>
    </row>
    <row r="31" spans="1:12">
      <c r="A31" s="3"/>
      <c r="B31" s="3"/>
      <c r="C31" s="151"/>
      <c r="D31" s="3"/>
      <c r="E31" s="4"/>
      <c r="F31" s="65"/>
      <c r="G31" s="151"/>
      <c r="H31" s="154"/>
      <c r="I31" s="150"/>
      <c r="J31" s="155"/>
      <c r="K31" s="150"/>
      <c r="L31" s="4"/>
    </row>
    <row r="32" spans="1:12">
      <c r="A32" s="3"/>
      <c r="B32" s="3"/>
      <c r="C32" s="4"/>
      <c r="D32" s="3"/>
      <c r="E32" s="4"/>
      <c r="F32" s="65"/>
      <c r="G32" s="4"/>
      <c r="H32" s="10"/>
      <c r="I32" s="3"/>
      <c r="J32" s="1"/>
      <c r="K32" s="3"/>
      <c r="L32" s="4"/>
    </row>
    <row r="33" spans="1:12">
      <c r="A33" s="3"/>
      <c r="B33" s="3"/>
      <c r="C33" s="151"/>
      <c r="D33" s="3"/>
      <c r="E33" s="4"/>
      <c r="F33" s="65"/>
      <c r="G33" s="151"/>
      <c r="H33" s="154"/>
      <c r="I33" s="150"/>
      <c r="J33" s="155"/>
      <c r="K33" s="150"/>
      <c r="L33" s="4"/>
    </row>
    <row r="34" spans="1:12">
      <c r="A34" s="3"/>
      <c r="B34" s="3"/>
      <c r="C34" s="151"/>
      <c r="D34" s="3"/>
      <c r="E34" s="4"/>
      <c r="F34" s="65"/>
      <c r="G34" s="4"/>
      <c r="H34" s="10"/>
      <c r="I34" s="150"/>
      <c r="J34" s="155"/>
      <c r="K34" s="150"/>
      <c r="L34" s="4"/>
    </row>
    <row r="35" spans="1:12">
      <c r="A35" s="3"/>
      <c r="B35" s="3"/>
      <c r="C35" s="151"/>
      <c r="D35" s="3"/>
      <c r="E35" s="4"/>
      <c r="F35" s="65"/>
      <c r="G35" s="151"/>
      <c r="H35" s="10"/>
      <c r="I35" s="150"/>
      <c r="J35" s="155"/>
      <c r="K35" s="150"/>
      <c r="L35" s="4"/>
    </row>
    <row r="36" spans="1:12">
      <c r="A36" s="3"/>
      <c r="B36" s="3"/>
      <c r="C36" s="4"/>
      <c r="D36" s="3"/>
      <c r="E36" s="4"/>
      <c r="F36" s="65"/>
      <c r="G36" s="4"/>
      <c r="H36" s="10"/>
      <c r="I36" s="150"/>
      <c r="J36" s="155"/>
      <c r="K36" s="150"/>
      <c r="L36" s="4"/>
    </row>
    <row r="37" spans="1:12">
      <c r="A37" s="3"/>
      <c r="B37" s="3"/>
      <c r="C37" s="4"/>
      <c r="D37" s="3"/>
      <c r="E37" s="4"/>
      <c r="F37" s="65"/>
      <c r="G37" s="151"/>
      <c r="H37" s="10"/>
      <c r="I37" s="150"/>
      <c r="J37" s="155"/>
      <c r="K37" s="150"/>
      <c r="L37" s="4"/>
    </row>
    <row r="38" spans="1:12">
      <c r="A38" s="3"/>
      <c r="B38" s="3"/>
      <c r="C38" s="4"/>
      <c r="D38" s="3"/>
      <c r="E38" s="4"/>
      <c r="F38" s="65"/>
      <c r="G38" s="4"/>
      <c r="H38" s="10"/>
      <c r="I38" s="150"/>
      <c r="J38" s="155"/>
      <c r="K38" s="150"/>
      <c r="L38" s="4"/>
    </row>
    <row r="39" spans="1:12">
      <c r="A39" s="3"/>
      <c r="B39" s="3"/>
      <c r="C39" s="4"/>
      <c r="D39" s="3"/>
      <c r="E39" s="4"/>
      <c r="F39" s="65"/>
      <c r="G39" s="151"/>
      <c r="H39" s="10"/>
      <c r="I39" s="150"/>
      <c r="J39" s="155"/>
      <c r="K39" s="150"/>
      <c r="L39" s="4"/>
    </row>
    <row r="40" spans="1:12">
      <c r="A40" s="3"/>
      <c r="B40" s="3"/>
      <c r="C40" s="4"/>
      <c r="D40" s="3"/>
      <c r="E40" s="4"/>
      <c r="F40" s="65"/>
      <c r="G40" s="4"/>
      <c r="H40" s="10"/>
      <c r="I40" s="150"/>
      <c r="J40" s="155"/>
      <c r="K40" s="150"/>
      <c r="L40" s="4"/>
    </row>
    <row r="41" spans="1:12">
      <c r="A41" s="3"/>
      <c r="B41" s="3"/>
      <c r="C41" s="4"/>
      <c r="D41" s="3"/>
      <c r="E41" s="4"/>
      <c r="F41" s="65"/>
      <c r="G41" s="151"/>
      <c r="H41" s="10"/>
      <c r="I41" s="150"/>
      <c r="J41" s="155"/>
      <c r="K41" s="150"/>
      <c r="L41" s="4"/>
    </row>
    <row r="42" spans="1:12">
      <c r="A42" s="3"/>
      <c r="B42" s="3"/>
      <c r="C42" s="4"/>
      <c r="D42" s="3"/>
      <c r="E42" s="4"/>
      <c r="F42" s="65"/>
      <c r="G42" s="4"/>
      <c r="H42" s="10"/>
      <c r="I42" s="150"/>
      <c r="J42" s="155"/>
      <c r="K42" s="150"/>
      <c r="L42" s="4"/>
    </row>
    <row r="43" spans="1:12">
      <c r="A43" s="3"/>
      <c r="B43" s="3"/>
      <c r="C43" s="4"/>
      <c r="D43" s="3"/>
      <c r="E43" s="4"/>
      <c r="F43" s="65"/>
      <c r="G43" s="151"/>
      <c r="H43" s="10"/>
      <c r="I43" s="150"/>
      <c r="J43" s="155"/>
      <c r="K43" s="150"/>
      <c r="L43" s="4"/>
    </row>
    <row r="44" spans="1:12">
      <c r="A44" s="3"/>
      <c r="B44" s="3"/>
      <c r="C44" s="4"/>
      <c r="D44" s="3"/>
      <c r="E44" s="4"/>
      <c r="F44" s="65"/>
      <c r="G44" s="4"/>
      <c r="H44" s="10"/>
      <c r="I44" s="3"/>
      <c r="J44" s="144"/>
      <c r="K44" s="3"/>
      <c r="L44" s="4"/>
    </row>
    <row r="45" spans="1:12">
      <c r="A45" s="3"/>
      <c r="B45" s="3"/>
      <c r="C45" s="4"/>
      <c r="D45" s="3"/>
      <c r="E45" s="4"/>
      <c r="F45" s="65"/>
      <c r="G45" s="151"/>
      <c r="H45" s="10"/>
      <c r="I45" s="3"/>
      <c r="J45" s="144"/>
      <c r="K45" s="3"/>
      <c r="L45" s="4"/>
    </row>
    <row r="46" spans="1:12">
      <c r="A46" s="3"/>
      <c r="B46" s="3"/>
      <c r="C46" s="4"/>
      <c r="D46" s="3"/>
      <c r="E46" s="4"/>
      <c r="F46" s="65"/>
      <c r="G46" s="4"/>
      <c r="H46" s="10"/>
      <c r="I46" s="3"/>
      <c r="J46" s="144"/>
      <c r="K46" s="3"/>
      <c r="L46" s="4"/>
    </row>
    <row r="47" spans="1:12">
      <c r="A47" s="3"/>
      <c r="B47" s="3"/>
      <c r="C47" s="4"/>
      <c r="D47" s="3"/>
      <c r="E47" s="4"/>
      <c r="F47" s="65"/>
      <c r="G47" s="151"/>
      <c r="H47" s="10"/>
      <c r="I47" s="3"/>
      <c r="J47" s="144"/>
      <c r="K47" s="3"/>
      <c r="L47" s="4"/>
    </row>
    <row r="48" spans="1:12">
      <c r="A48" s="3"/>
      <c r="B48" s="3"/>
      <c r="C48" s="4"/>
      <c r="D48" s="3"/>
      <c r="E48" s="4"/>
      <c r="F48" s="65"/>
      <c r="G48" s="4"/>
      <c r="H48" s="10"/>
      <c r="I48" s="3"/>
      <c r="J48" s="144"/>
      <c r="K48" s="3"/>
      <c r="L48" s="4"/>
    </row>
    <row r="49" spans="1:12">
      <c r="A49" s="3"/>
      <c r="B49" s="3"/>
      <c r="C49" s="4"/>
      <c r="D49" s="3"/>
      <c r="E49" s="4"/>
      <c r="F49" s="65"/>
      <c r="G49" s="151"/>
      <c r="H49" s="10"/>
      <c r="I49" s="3"/>
      <c r="J49" s="144"/>
      <c r="K49" s="3"/>
      <c r="L49" s="4"/>
    </row>
    <row r="50" spans="1:12">
      <c r="A50" s="3"/>
      <c r="B50" s="3"/>
      <c r="C50" s="4"/>
      <c r="D50" s="3"/>
      <c r="E50" s="4"/>
      <c r="F50" s="65"/>
      <c r="G50" s="4"/>
      <c r="H50" s="10"/>
      <c r="I50" s="3"/>
      <c r="J50" s="144"/>
      <c r="K50" s="3"/>
      <c r="L50" s="4"/>
    </row>
    <row r="51" spans="1:12">
      <c r="A51" s="3"/>
      <c r="B51" s="3"/>
      <c r="C51" s="4"/>
      <c r="D51" s="3"/>
      <c r="E51" s="4"/>
      <c r="F51" s="65"/>
      <c r="G51" s="151"/>
      <c r="H51" s="10"/>
      <c r="I51" s="3"/>
      <c r="J51" s="144"/>
      <c r="K51" s="3"/>
      <c r="L51" s="4"/>
    </row>
    <row r="52" spans="1:12">
      <c r="A52" s="3"/>
      <c r="B52" s="3"/>
      <c r="C52" s="4"/>
      <c r="D52" s="3"/>
      <c r="E52" s="4"/>
      <c r="F52" s="65"/>
      <c r="G52" s="4"/>
      <c r="H52" s="10"/>
      <c r="I52" s="3"/>
      <c r="J52" s="144"/>
      <c r="K52" s="3"/>
      <c r="L52" s="4"/>
    </row>
    <row r="53" spans="1:12">
      <c r="A53" s="3"/>
      <c r="B53" s="3"/>
      <c r="C53" s="4"/>
      <c r="D53" s="3"/>
      <c r="E53" s="4"/>
      <c r="F53" s="65"/>
      <c r="G53" s="151"/>
      <c r="H53" s="10"/>
      <c r="I53" s="3"/>
      <c r="J53" s="144"/>
      <c r="K53" s="3"/>
      <c r="L53" s="4"/>
    </row>
    <row r="54" spans="1:12">
      <c r="A54" s="3"/>
      <c r="B54" s="3"/>
      <c r="C54" s="4"/>
      <c r="D54" s="3"/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3">
        <v>16120067</v>
      </c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3">
        <v>16120068</v>
      </c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3">
        <v>16120069</v>
      </c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3">
        <v>16120070</v>
      </c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3">
        <v>16120071</v>
      </c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3">
        <v>16120072</v>
      </c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3">
        <v>16120073</v>
      </c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3">
        <v>16120074</v>
      </c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3">
        <v>16120075</v>
      </c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3">
        <v>16120076</v>
      </c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3">
        <v>16120077</v>
      </c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3">
        <v>16120078</v>
      </c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3">
        <v>16120079</v>
      </c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3">
        <v>16120080</v>
      </c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3">
        <v>16120081</v>
      </c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3">
        <v>16120082</v>
      </c>
      <c r="E70" s="4"/>
      <c r="F70" s="65"/>
      <c r="G70" s="4"/>
      <c r="H70" s="10"/>
      <c r="I70" s="3"/>
      <c r="J70" s="3"/>
      <c r="K70" s="3"/>
      <c r="L7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42" priority="1" operator="containsText" text="見積！">
      <formula>NOT(ISERROR(SEARCH("見積！",A1)))</formula>
    </cfRule>
  </conditionalFormatting>
  <conditionalFormatting sqref="A4:A1048576">
    <cfRule type="containsText" dxfId="41" priority="2" operator="containsText" text="着手">
      <formula>NOT(ISERROR(SEARCH("着手",A4)))</formula>
    </cfRule>
    <cfRule type="containsText" dxfId="40" priority="3" operator="containsText" text="見積完了">
      <formula>NOT(ISERROR(SEARCH("見積完了",A4)))</formula>
    </cfRule>
    <cfRule type="containsText" dxfId="39" priority="4" operator="containsText" text="中止">
      <formula>NOT(ISERROR(SEARCH("中止",A4)))</formula>
    </cfRule>
    <cfRule type="containsText" dxfId="38" priority="5" operator="containsText" text="保留">
      <formula>NOT(ISERROR(SEARCH("保留",A4)))</formula>
    </cfRule>
    <cfRule type="containsText" dxfId="37" priority="6" operator="containsText" text="進行中">
      <formula>NOT(ISERROR(SEARCH("進行中",A4)))</formula>
    </cfRule>
    <cfRule type="containsText" dxfId="36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A2 K1:L1048576 C1:C1048576 I1:I1048576 G2:G1048576" xr:uid="{F33DB8AB-D816-4738-9ADA-2EABB3924C1F}"/>
    <dataValidation imeMode="off" allowBlank="1" showInputMessage="1" showErrorMessage="1" sqref="G1 D1:F1048576 H1:H1048576 B1:B1048576 J1:J1048576" xr:uid="{050146D6-880E-46E8-AEAD-E6399D85DAC5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406F60-4C7A-4F1E-A651-7A377E848864}">
          <x14:formula1>
            <xm:f>タスク!$B$3:$B$14</xm:f>
          </x14:formula1>
          <xm:sqref>A4:A1048576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2132-5BB1-461D-971D-F5468322CE59}">
  <sheetPr>
    <pageSetUpPr fitToPage="1"/>
  </sheetPr>
  <dimension ref="A1:M70"/>
  <sheetViews>
    <sheetView zoomScaleNormal="100" workbookViewId="0">
      <pane ySplit="3" topLeftCell="A4" activePane="bottomLeft" state="frozen"/>
      <selection activeCell="A11" sqref="A11"/>
      <selection pane="bottomLeft" activeCell="H4" sqref="H4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/>
      <c r="B4" s="3">
        <v>1</v>
      </c>
      <c r="C4" s="4" t="s">
        <v>702</v>
      </c>
      <c r="D4" s="3">
        <v>16126001</v>
      </c>
      <c r="E4" s="4" t="s">
        <v>259</v>
      </c>
      <c r="F4" s="65">
        <v>15266</v>
      </c>
      <c r="G4" s="4" t="s">
        <v>703</v>
      </c>
      <c r="H4" s="165"/>
      <c r="I4" s="3" t="s">
        <v>704</v>
      </c>
      <c r="J4" s="1">
        <v>45720</v>
      </c>
      <c r="K4" s="3" t="s">
        <v>653</v>
      </c>
    </row>
    <row r="5" spans="1:13">
      <c r="A5" s="17"/>
      <c r="B5" s="3">
        <v>2</v>
      </c>
      <c r="C5" s="4"/>
      <c r="D5" s="3">
        <v>16126002</v>
      </c>
      <c r="E5" s="4"/>
      <c r="F5" s="65"/>
      <c r="G5" s="4"/>
      <c r="H5" s="10"/>
      <c r="I5" s="3"/>
      <c r="J5" s="1"/>
      <c r="K5" s="3"/>
    </row>
    <row r="6" spans="1:13">
      <c r="A6" s="17"/>
      <c r="B6" s="3">
        <v>3</v>
      </c>
      <c r="C6" s="4"/>
      <c r="D6" s="3">
        <v>16126003</v>
      </c>
      <c r="E6" s="4"/>
      <c r="F6" s="65"/>
      <c r="G6" s="4"/>
      <c r="H6" s="10"/>
      <c r="I6" s="3"/>
      <c r="J6" s="1"/>
      <c r="K6" s="3"/>
    </row>
    <row r="7" spans="1:13">
      <c r="A7" s="17"/>
      <c r="B7" s="3">
        <v>4</v>
      </c>
      <c r="C7" s="4"/>
      <c r="D7" s="3">
        <v>16126004</v>
      </c>
      <c r="E7" s="4"/>
      <c r="F7" s="65"/>
      <c r="G7" s="4"/>
      <c r="H7" s="10"/>
      <c r="I7" s="3"/>
      <c r="J7" s="1"/>
      <c r="K7" s="3"/>
    </row>
    <row r="8" spans="1:13">
      <c r="A8" s="17"/>
      <c r="B8" s="3">
        <v>5</v>
      </c>
      <c r="C8" s="4"/>
      <c r="D8" s="3">
        <v>16126005</v>
      </c>
      <c r="E8" s="4"/>
      <c r="F8" s="65"/>
      <c r="G8" s="4"/>
      <c r="H8" s="10"/>
      <c r="I8" s="3"/>
      <c r="J8" s="1"/>
      <c r="K8" s="3"/>
    </row>
    <row r="9" spans="1:13">
      <c r="A9" s="17"/>
      <c r="B9" s="3">
        <v>6</v>
      </c>
      <c r="C9" s="4"/>
      <c r="D9" s="3">
        <v>16126006</v>
      </c>
      <c r="E9" s="4"/>
      <c r="F9" s="65"/>
      <c r="G9" s="4"/>
      <c r="H9" s="10"/>
      <c r="I9" s="3"/>
      <c r="J9" s="1"/>
      <c r="K9" s="3"/>
    </row>
    <row r="10" spans="1:13">
      <c r="A10" s="17"/>
      <c r="B10" s="3">
        <v>7</v>
      </c>
      <c r="C10" s="4"/>
      <c r="D10" s="3">
        <v>16126007</v>
      </c>
      <c r="E10" s="4"/>
      <c r="F10" s="65"/>
      <c r="G10" s="4"/>
      <c r="H10" s="10"/>
      <c r="I10" s="3"/>
      <c r="J10" s="1"/>
      <c r="K10" s="3"/>
    </row>
    <row r="11" spans="1:13">
      <c r="A11" s="17"/>
      <c r="B11" s="3">
        <v>8</v>
      </c>
      <c r="C11" s="4"/>
      <c r="D11" s="3">
        <v>16126008</v>
      </c>
      <c r="E11" s="4"/>
      <c r="F11" s="65"/>
      <c r="G11" s="4"/>
      <c r="H11" s="10"/>
      <c r="I11" s="3"/>
      <c r="J11" s="1"/>
      <c r="K11" s="3"/>
    </row>
    <row r="12" spans="1:13">
      <c r="A12" s="17"/>
      <c r="B12" s="3">
        <v>9</v>
      </c>
      <c r="C12" s="4"/>
      <c r="D12" s="3">
        <v>16126009</v>
      </c>
      <c r="E12" s="4"/>
      <c r="F12" s="65"/>
      <c r="G12" s="4"/>
      <c r="H12" s="10"/>
      <c r="I12" s="3"/>
      <c r="J12" s="1"/>
      <c r="K12" s="3"/>
    </row>
    <row r="13" spans="1:13">
      <c r="A13" s="17"/>
      <c r="B13" s="3">
        <v>10</v>
      </c>
      <c r="C13" s="4"/>
      <c r="D13" s="3">
        <v>16126010</v>
      </c>
      <c r="E13" s="4"/>
      <c r="F13" s="65"/>
      <c r="G13" s="4"/>
      <c r="H13" s="10"/>
      <c r="I13" s="3"/>
      <c r="J13" s="1"/>
      <c r="K13" s="3"/>
    </row>
    <row r="14" spans="1:13">
      <c r="A14" s="17"/>
      <c r="B14" s="3">
        <v>11</v>
      </c>
      <c r="C14" s="4"/>
      <c r="D14" s="3">
        <v>16126011</v>
      </c>
      <c r="E14" s="4"/>
      <c r="F14" s="65"/>
      <c r="G14" s="4"/>
      <c r="H14" s="10"/>
      <c r="I14" s="3"/>
      <c r="J14" s="1"/>
      <c r="K14" s="3"/>
    </row>
    <row r="15" spans="1:13">
      <c r="A15" s="17"/>
      <c r="B15" s="3">
        <v>12</v>
      </c>
      <c r="C15" s="4"/>
      <c r="D15" s="3">
        <v>16126012</v>
      </c>
      <c r="E15" s="4"/>
      <c r="F15" s="65"/>
      <c r="G15" s="4"/>
      <c r="H15" s="10"/>
      <c r="I15" s="3"/>
      <c r="J15" s="1"/>
      <c r="K15" s="3"/>
    </row>
    <row r="16" spans="1:13">
      <c r="A16" s="17"/>
      <c r="B16" s="3">
        <v>13</v>
      </c>
      <c r="C16" s="4"/>
      <c r="D16" s="3">
        <v>16126013</v>
      </c>
      <c r="E16" s="4"/>
      <c r="F16" s="65"/>
      <c r="G16" s="4"/>
      <c r="H16" s="10"/>
      <c r="I16" s="3"/>
      <c r="J16" s="1"/>
      <c r="K16" s="3"/>
    </row>
    <row r="17" spans="1:12">
      <c r="A17" s="17"/>
      <c r="B17" s="3">
        <v>14</v>
      </c>
      <c r="C17" s="4"/>
      <c r="D17" s="3">
        <v>16126014</v>
      </c>
      <c r="E17" s="4"/>
      <c r="F17" s="65"/>
      <c r="G17" s="4"/>
      <c r="H17" s="10"/>
      <c r="I17" s="3"/>
      <c r="J17" s="1"/>
      <c r="K17" s="3"/>
    </row>
    <row r="18" spans="1:12">
      <c r="A18" s="17"/>
      <c r="B18" s="3">
        <v>15</v>
      </c>
      <c r="C18" s="4"/>
      <c r="D18" s="3">
        <v>16126015</v>
      </c>
      <c r="E18" s="4"/>
      <c r="F18" s="65"/>
      <c r="G18" s="4"/>
      <c r="H18" s="10"/>
      <c r="I18" s="3"/>
      <c r="J18" s="1"/>
      <c r="K18" s="3"/>
    </row>
    <row r="19" spans="1:12">
      <c r="A19" s="17"/>
      <c r="B19" s="3">
        <v>16</v>
      </c>
      <c r="C19" s="4"/>
      <c r="D19" s="3">
        <v>16126016</v>
      </c>
      <c r="E19" s="4"/>
      <c r="F19" s="65"/>
      <c r="G19" s="4"/>
      <c r="H19" s="10"/>
      <c r="I19" s="3"/>
      <c r="J19" s="1"/>
      <c r="K19" s="3"/>
    </row>
    <row r="20" spans="1:12">
      <c r="A20" s="17"/>
      <c r="B20" s="3">
        <v>17</v>
      </c>
      <c r="C20" s="4"/>
      <c r="D20" s="3">
        <v>16126017</v>
      </c>
      <c r="E20" s="4"/>
      <c r="F20" s="65"/>
      <c r="G20" s="4"/>
      <c r="H20" s="10"/>
      <c r="I20" s="3"/>
      <c r="J20" s="1"/>
      <c r="K20" s="3"/>
    </row>
    <row r="21" spans="1:12">
      <c r="A21" s="17"/>
      <c r="B21" s="3">
        <v>18</v>
      </c>
      <c r="C21" s="4"/>
      <c r="D21" s="3">
        <v>16126018</v>
      </c>
      <c r="E21" s="4"/>
      <c r="F21" s="65"/>
      <c r="G21" s="4"/>
      <c r="H21" s="10"/>
      <c r="I21" s="3"/>
      <c r="J21" s="1"/>
      <c r="K21" s="3"/>
    </row>
    <row r="22" spans="1:12">
      <c r="A22" s="17"/>
      <c r="B22" s="3">
        <v>19</v>
      </c>
      <c r="C22" s="4"/>
      <c r="D22" s="3">
        <v>16126019</v>
      </c>
      <c r="E22" s="4"/>
      <c r="F22" s="65"/>
      <c r="G22" s="4"/>
      <c r="H22" s="10"/>
      <c r="I22" s="3"/>
      <c r="J22" s="1"/>
      <c r="K22" s="3"/>
    </row>
    <row r="23" spans="1:12">
      <c r="A23" s="17"/>
      <c r="B23" s="3">
        <v>20</v>
      </c>
      <c r="C23" s="4"/>
      <c r="D23" s="3">
        <v>16126020</v>
      </c>
      <c r="E23" s="4"/>
      <c r="F23" s="65"/>
      <c r="G23" s="4"/>
      <c r="H23" s="10"/>
      <c r="I23" s="3"/>
      <c r="J23" s="1"/>
      <c r="K23" s="3"/>
    </row>
    <row r="24" spans="1:12">
      <c r="A24" s="17"/>
      <c r="B24" s="3">
        <v>21</v>
      </c>
      <c r="C24" s="4"/>
      <c r="D24" s="3">
        <v>16126021</v>
      </c>
      <c r="E24" s="4"/>
      <c r="F24" s="65"/>
      <c r="G24" s="4"/>
      <c r="H24" s="10"/>
      <c r="I24" s="3"/>
      <c r="J24" s="1"/>
      <c r="K24" s="3"/>
    </row>
    <row r="25" spans="1:12">
      <c r="A25" s="17"/>
      <c r="B25" s="3">
        <v>22</v>
      </c>
      <c r="C25" s="4"/>
      <c r="D25" s="3">
        <v>16126022</v>
      </c>
      <c r="E25" s="4"/>
      <c r="F25" s="65"/>
      <c r="G25" s="4"/>
      <c r="H25" s="10"/>
      <c r="I25" s="3"/>
      <c r="J25" s="1"/>
      <c r="K25" s="3"/>
    </row>
    <row r="26" spans="1:12">
      <c r="A26" s="17"/>
      <c r="B26" s="3">
        <v>23</v>
      </c>
      <c r="C26" s="4"/>
      <c r="D26" s="3">
        <v>16126023</v>
      </c>
      <c r="E26" s="4"/>
      <c r="F26" s="65"/>
      <c r="G26" s="4"/>
      <c r="H26" s="10"/>
      <c r="I26" s="3"/>
      <c r="J26" s="1"/>
      <c r="K26" s="3"/>
    </row>
    <row r="27" spans="1:12">
      <c r="A27" s="149"/>
      <c r="B27" s="3">
        <v>24</v>
      </c>
      <c r="C27" s="151"/>
      <c r="D27" s="3">
        <v>16126024</v>
      </c>
      <c r="E27" s="151"/>
      <c r="F27" s="153"/>
      <c r="G27" s="151"/>
      <c r="H27" s="154"/>
      <c r="I27" s="150"/>
      <c r="J27" s="155"/>
      <c r="K27" s="150"/>
    </row>
    <row r="28" spans="1:12">
      <c r="A28" s="3"/>
      <c r="B28" s="3"/>
      <c r="C28" s="4"/>
      <c r="D28" s="3">
        <v>16126025</v>
      </c>
      <c r="E28" s="4"/>
      <c r="F28" s="65"/>
      <c r="G28" s="4"/>
      <c r="H28" s="10"/>
      <c r="I28" s="3"/>
      <c r="J28" s="1"/>
      <c r="K28" s="3"/>
      <c r="L28" s="4"/>
    </row>
    <row r="29" spans="1:12">
      <c r="A29" s="3"/>
      <c r="B29" s="3"/>
      <c r="C29" s="4"/>
      <c r="D29" s="3"/>
      <c r="E29" s="4"/>
      <c r="F29" s="65"/>
      <c r="G29" s="4"/>
      <c r="H29" s="10"/>
      <c r="I29" s="3"/>
      <c r="J29" s="1"/>
      <c r="K29" s="3"/>
      <c r="L29" s="4"/>
    </row>
    <row r="30" spans="1:12">
      <c r="A30" s="3"/>
      <c r="B30" s="3"/>
      <c r="C30" s="4"/>
      <c r="D30" s="3"/>
      <c r="E30" s="4"/>
      <c r="F30" s="65"/>
      <c r="G30" s="4"/>
      <c r="H30" s="10"/>
      <c r="I30" s="3"/>
      <c r="J30" s="1"/>
      <c r="K30" s="3"/>
      <c r="L30" s="4"/>
    </row>
    <row r="31" spans="1:12">
      <c r="A31" s="3"/>
      <c r="B31" s="3"/>
      <c r="C31" s="151"/>
      <c r="D31" s="3"/>
      <c r="E31" s="4"/>
      <c r="F31" s="65"/>
      <c r="G31" s="151"/>
      <c r="H31" s="154"/>
      <c r="I31" s="150"/>
      <c r="J31" s="155"/>
      <c r="K31" s="150"/>
      <c r="L31" s="4"/>
    </row>
    <row r="32" spans="1:12">
      <c r="A32" s="3"/>
      <c r="B32" s="3"/>
      <c r="C32" s="4"/>
      <c r="D32" s="3"/>
      <c r="E32" s="4"/>
      <c r="F32" s="65"/>
      <c r="G32" s="4"/>
      <c r="H32" s="10"/>
      <c r="I32" s="3"/>
      <c r="J32" s="1"/>
      <c r="K32" s="3"/>
      <c r="L32" s="4"/>
    </row>
    <row r="33" spans="1:12">
      <c r="A33" s="3"/>
      <c r="B33" s="3"/>
      <c r="C33" s="151"/>
      <c r="D33" s="3"/>
      <c r="E33" s="4"/>
      <c r="F33" s="65"/>
      <c r="G33" s="151"/>
      <c r="H33" s="154"/>
      <c r="I33" s="150"/>
      <c r="J33" s="155"/>
      <c r="K33" s="150"/>
      <c r="L33" s="4"/>
    </row>
    <row r="34" spans="1:12">
      <c r="A34" s="3"/>
      <c r="B34" s="3"/>
      <c r="C34" s="151"/>
      <c r="D34" s="3"/>
      <c r="E34" s="4"/>
      <c r="F34" s="65"/>
      <c r="G34" s="4"/>
      <c r="H34" s="10"/>
      <c r="I34" s="150"/>
      <c r="J34" s="155"/>
      <c r="K34" s="150"/>
      <c r="L34" s="4"/>
    </row>
    <row r="35" spans="1:12">
      <c r="A35" s="3"/>
      <c r="B35" s="3"/>
      <c r="C35" s="151"/>
      <c r="D35" s="3"/>
      <c r="E35" s="4"/>
      <c r="F35" s="65"/>
      <c r="G35" s="151"/>
      <c r="H35" s="10"/>
      <c r="I35" s="150"/>
      <c r="J35" s="155"/>
      <c r="K35" s="150"/>
      <c r="L35" s="4"/>
    </row>
    <row r="36" spans="1:12">
      <c r="A36" s="3"/>
      <c r="B36" s="3"/>
      <c r="C36" s="4"/>
      <c r="D36" s="3"/>
      <c r="E36" s="4"/>
      <c r="F36" s="65"/>
      <c r="G36" s="4"/>
      <c r="H36" s="10"/>
      <c r="I36" s="150"/>
      <c r="J36" s="155"/>
      <c r="K36" s="150"/>
      <c r="L36" s="4"/>
    </row>
    <row r="37" spans="1:12">
      <c r="A37" s="3"/>
      <c r="B37" s="3"/>
      <c r="C37" s="4"/>
      <c r="D37" s="3"/>
      <c r="E37" s="4"/>
      <c r="F37" s="65"/>
      <c r="G37" s="151"/>
      <c r="H37" s="10"/>
      <c r="I37" s="150"/>
      <c r="J37" s="155"/>
      <c r="K37" s="150"/>
      <c r="L37" s="4"/>
    </row>
    <row r="38" spans="1:12">
      <c r="A38" s="3"/>
      <c r="B38" s="3"/>
      <c r="C38" s="4"/>
      <c r="D38" s="3"/>
      <c r="E38" s="4"/>
      <c r="F38" s="65"/>
      <c r="G38" s="4"/>
      <c r="H38" s="10"/>
      <c r="I38" s="150"/>
      <c r="J38" s="155"/>
      <c r="K38" s="150"/>
      <c r="L38" s="4"/>
    </row>
    <row r="39" spans="1:12">
      <c r="A39" s="3"/>
      <c r="B39" s="3"/>
      <c r="C39" s="4"/>
      <c r="D39" s="3"/>
      <c r="E39" s="4"/>
      <c r="F39" s="65"/>
      <c r="G39" s="151"/>
      <c r="H39" s="10"/>
      <c r="I39" s="150"/>
      <c r="J39" s="155"/>
      <c r="K39" s="150"/>
      <c r="L39" s="4"/>
    </row>
    <row r="40" spans="1:12">
      <c r="A40" s="3"/>
      <c r="B40" s="3"/>
      <c r="C40" s="4"/>
      <c r="D40" s="3"/>
      <c r="E40" s="4"/>
      <c r="F40" s="65"/>
      <c r="G40" s="4"/>
      <c r="H40" s="10"/>
      <c r="I40" s="150"/>
      <c r="J40" s="155"/>
      <c r="K40" s="150"/>
      <c r="L40" s="4"/>
    </row>
    <row r="41" spans="1:12">
      <c r="A41" s="3"/>
      <c r="B41" s="3"/>
      <c r="C41" s="4"/>
      <c r="D41" s="3"/>
      <c r="E41" s="4"/>
      <c r="F41" s="65"/>
      <c r="G41" s="151"/>
      <c r="H41" s="10"/>
      <c r="I41" s="150"/>
      <c r="J41" s="155"/>
      <c r="K41" s="150"/>
      <c r="L41" s="4"/>
    </row>
    <row r="42" spans="1:12">
      <c r="A42" s="3"/>
      <c r="B42" s="3"/>
      <c r="C42" s="4"/>
      <c r="D42" s="3"/>
      <c r="E42" s="4"/>
      <c r="F42" s="65"/>
      <c r="G42" s="4"/>
      <c r="H42" s="10"/>
      <c r="I42" s="150"/>
      <c r="J42" s="155"/>
      <c r="K42" s="150"/>
      <c r="L42" s="4"/>
    </row>
    <row r="43" spans="1:12">
      <c r="A43" s="3"/>
      <c r="B43" s="3"/>
      <c r="C43" s="4"/>
      <c r="D43" s="3"/>
      <c r="E43" s="4"/>
      <c r="F43" s="65"/>
      <c r="G43" s="151"/>
      <c r="H43" s="10"/>
      <c r="I43" s="150"/>
      <c r="J43" s="155"/>
      <c r="K43" s="150"/>
      <c r="L43" s="4"/>
    </row>
    <row r="44" spans="1:12">
      <c r="A44" s="3"/>
      <c r="B44" s="3"/>
      <c r="C44" s="4"/>
      <c r="D44" s="3"/>
      <c r="E44" s="4"/>
      <c r="F44" s="65"/>
      <c r="G44" s="4"/>
      <c r="H44" s="10"/>
      <c r="I44" s="3"/>
      <c r="J44" s="144"/>
      <c r="K44" s="3"/>
      <c r="L44" s="4"/>
    </row>
    <row r="45" spans="1:12">
      <c r="A45" s="3"/>
      <c r="B45" s="3"/>
      <c r="C45" s="4"/>
      <c r="D45" s="3"/>
      <c r="E45" s="4"/>
      <c r="F45" s="65"/>
      <c r="G45" s="151"/>
      <c r="H45" s="10"/>
      <c r="I45" s="3"/>
      <c r="J45" s="144"/>
      <c r="K45" s="3"/>
      <c r="L45" s="4"/>
    </row>
    <row r="46" spans="1:12">
      <c r="A46" s="3"/>
      <c r="B46" s="3"/>
      <c r="C46" s="4"/>
      <c r="D46" s="3"/>
      <c r="E46" s="4"/>
      <c r="F46" s="65"/>
      <c r="G46" s="4"/>
      <c r="H46" s="10"/>
      <c r="I46" s="3"/>
      <c r="J46" s="144"/>
      <c r="K46" s="3"/>
      <c r="L46" s="4"/>
    </row>
    <row r="47" spans="1:12">
      <c r="A47" s="3"/>
      <c r="B47" s="3"/>
      <c r="C47" s="4"/>
      <c r="D47" s="3"/>
      <c r="E47" s="4"/>
      <c r="F47" s="65"/>
      <c r="G47" s="151"/>
      <c r="H47" s="10"/>
      <c r="I47" s="3"/>
      <c r="J47" s="144"/>
      <c r="K47" s="3"/>
      <c r="L47" s="4"/>
    </row>
    <row r="48" spans="1:12">
      <c r="A48" s="3"/>
      <c r="B48" s="3"/>
      <c r="C48" s="4"/>
      <c r="D48" s="3"/>
      <c r="E48" s="4"/>
      <c r="F48" s="65"/>
      <c r="G48" s="4"/>
      <c r="H48" s="10"/>
      <c r="I48" s="3"/>
      <c r="J48" s="144"/>
      <c r="K48" s="3"/>
      <c r="L48" s="4"/>
    </row>
    <row r="49" spans="1:12">
      <c r="A49" s="3"/>
      <c r="B49" s="3"/>
      <c r="C49" s="4"/>
      <c r="D49" s="3"/>
      <c r="E49" s="4"/>
      <c r="F49" s="65"/>
      <c r="G49" s="151"/>
      <c r="H49" s="10"/>
      <c r="I49" s="3"/>
      <c r="J49" s="144"/>
      <c r="K49" s="3"/>
      <c r="L49" s="4"/>
    </row>
    <row r="50" spans="1:12">
      <c r="A50" s="3"/>
      <c r="B50" s="3"/>
      <c r="C50" s="4"/>
      <c r="D50" s="3"/>
      <c r="E50" s="4"/>
      <c r="F50" s="65"/>
      <c r="G50" s="4"/>
      <c r="H50" s="10"/>
      <c r="I50" s="3"/>
      <c r="J50" s="144"/>
      <c r="K50" s="3"/>
      <c r="L50" s="4"/>
    </row>
    <row r="51" spans="1:12">
      <c r="A51" s="3"/>
      <c r="B51" s="3"/>
      <c r="C51" s="4"/>
      <c r="D51" s="3"/>
      <c r="E51" s="4"/>
      <c r="F51" s="65"/>
      <c r="G51" s="151"/>
      <c r="H51" s="10"/>
      <c r="I51" s="3"/>
      <c r="J51" s="144"/>
      <c r="K51" s="3"/>
      <c r="L51" s="4"/>
    </row>
    <row r="52" spans="1:12">
      <c r="A52" s="3"/>
      <c r="B52" s="3"/>
      <c r="C52" s="4"/>
      <c r="D52" s="3"/>
      <c r="E52" s="4"/>
      <c r="F52" s="65"/>
      <c r="G52" s="4"/>
      <c r="H52" s="10"/>
      <c r="I52" s="3"/>
      <c r="J52" s="144"/>
      <c r="K52" s="3"/>
      <c r="L52" s="4"/>
    </row>
    <row r="53" spans="1:12">
      <c r="A53" s="3"/>
      <c r="B53" s="3"/>
      <c r="C53" s="4"/>
      <c r="D53" s="3"/>
      <c r="E53" s="4"/>
      <c r="F53" s="65"/>
      <c r="G53" s="151"/>
      <c r="H53" s="10"/>
      <c r="I53" s="3"/>
      <c r="J53" s="144"/>
      <c r="K53" s="3"/>
      <c r="L53" s="4"/>
    </row>
    <row r="54" spans="1:12">
      <c r="A54" s="3"/>
      <c r="B54" s="3"/>
      <c r="C54" s="4"/>
      <c r="D54" s="3"/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3">
        <v>16120067</v>
      </c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3">
        <v>16120068</v>
      </c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3">
        <v>16120069</v>
      </c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3">
        <v>16120070</v>
      </c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3">
        <v>16120071</v>
      </c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3">
        <v>16120072</v>
      </c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3">
        <v>16120073</v>
      </c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3">
        <v>16120074</v>
      </c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3">
        <v>16120075</v>
      </c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3">
        <v>16120076</v>
      </c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3">
        <v>16120077</v>
      </c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3">
        <v>16120078</v>
      </c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3">
        <v>16120079</v>
      </c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3">
        <v>16120080</v>
      </c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3">
        <v>16120081</v>
      </c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3">
        <v>16120082</v>
      </c>
      <c r="E70" s="4"/>
      <c r="F70" s="65"/>
      <c r="G70" s="4"/>
      <c r="H70" s="10"/>
      <c r="I70" s="3"/>
      <c r="J70" s="3"/>
      <c r="K70" s="3"/>
      <c r="L7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35" priority="1" operator="containsText" text="見積！">
      <formula>NOT(ISERROR(SEARCH("見積！",A1)))</formula>
    </cfRule>
  </conditionalFormatting>
  <conditionalFormatting sqref="A4:A1048576">
    <cfRule type="containsText" dxfId="34" priority="2" operator="containsText" text="着手">
      <formula>NOT(ISERROR(SEARCH("着手",A4)))</formula>
    </cfRule>
    <cfRule type="containsText" dxfId="33" priority="3" operator="containsText" text="見積完了">
      <formula>NOT(ISERROR(SEARCH("見積完了",A4)))</formula>
    </cfRule>
    <cfRule type="containsText" dxfId="32" priority="4" operator="containsText" text="中止">
      <formula>NOT(ISERROR(SEARCH("中止",A4)))</formula>
    </cfRule>
    <cfRule type="containsText" dxfId="31" priority="5" operator="containsText" text="保留">
      <formula>NOT(ISERROR(SEARCH("保留",A4)))</formula>
    </cfRule>
    <cfRule type="containsText" dxfId="30" priority="6" operator="containsText" text="進行中">
      <formula>NOT(ISERROR(SEARCH("進行中",A4)))</formula>
    </cfRule>
    <cfRule type="containsText" dxfId="29" priority="7" operator="containsText" text="完了">
      <formula>NOT(ISERROR(SEARCH("完了",A4)))</formula>
    </cfRule>
  </conditionalFormatting>
  <dataValidations count="2">
    <dataValidation imeMode="off" allowBlank="1" showInputMessage="1" showErrorMessage="1" sqref="G1 J1:J1048576 H1:H1048576 B1:B1048576 D1:F1048576" xr:uid="{A52C33BF-E92E-4AA9-A843-1F819DF50820}"/>
    <dataValidation imeMode="on" allowBlank="1" showInputMessage="1" showErrorMessage="1" sqref="A2 C1:C1048576 G2:G1048576 I1:I1048576 K1:L1048576" xr:uid="{57F95AEE-B74E-4C4B-9D40-A3DEE5CA02E0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6A633A-49B5-46BD-8ADC-69B8BBBAB5FB}">
          <x14:formula1>
            <xm:f>タスク!$B$3:$B$14</xm:f>
          </x14:formula1>
          <xm:sqref>A4:A1048576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FC5E-527C-4AEC-AFC8-DCBDFAEAD74B}">
  <sheetPr>
    <pageSetUpPr fitToPage="1"/>
  </sheetPr>
  <dimension ref="A1:M70"/>
  <sheetViews>
    <sheetView zoomScaleNormal="100" workbookViewId="0">
      <pane ySplit="3" topLeftCell="A4" activePane="bottomLeft" state="frozen"/>
      <selection activeCell="A11" sqref="A11"/>
      <selection pane="bottomLeft" activeCell="H9" sqref="H4:H9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/>
      <c r="B4" s="3">
        <v>1</v>
      </c>
      <c r="C4" s="4" t="s">
        <v>804</v>
      </c>
      <c r="D4" s="3">
        <v>16127001</v>
      </c>
      <c r="E4" s="4" t="s">
        <v>259</v>
      </c>
      <c r="F4" s="65">
        <v>16732</v>
      </c>
      <c r="G4" s="4" t="s">
        <v>821</v>
      </c>
      <c r="H4" s="165"/>
      <c r="I4" s="3" t="s">
        <v>84</v>
      </c>
      <c r="J4" s="162" t="s">
        <v>802</v>
      </c>
      <c r="K4" s="3" t="s">
        <v>653</v>
      </c>
    </row>
    <row r="5" spans="1:13">
      <c r="A5" s="17"/>
      <c r="B5" s="3">
        <v>2</v>
      </c>
      <c r="C5" s="4" t="s">
        <v>804</v>
      </c>
      <c r="D5" s="3">
        <v>16127002</v>
      </c>
      <c r="E5" s="4"/>
      <c r="F5" s="65">
        <v>16885</v>
      </c>
      <c r="G5" s="4" t="s">
        <v>821</v>
      </c>
      <c r="H5" s="10"/>
      <c r="I5" s="3" t="s">
        <v>85</v>
      </c>
      <c r="J5" s="168">
        <v>45889</v>
      </c>
      <c r="K5" s="3" t="s">
        <v>653</v>
      </c>
    </row>
    <row r="6" spans="1:13">
      <c r="A6" s="17"/>
      <c r="B6" s="3">
        <v>3</v>
      </c>
      <c r="C6" s="4" t="s">
        <v>804</v>
      </c>
      <c r="D6" s="3">
        <v>16127003</v>
      </c>
      <c r="E6" s="4"/>
      <c r="F6" s="65">
        <v>17187</v>
      </c>
      <c r="G6" s="4" t="s">
        <v>821</v>
      </c>
      <c r="H6" s="10"/>
      <c r="I6" s="3" t="s">
        <v>481</v>
      </c>
      <c r="J6" s="168">
        <v>45916</v>
      </c>
      <c r="K6" s="3" t="s">
        <v>653</v>
      </c>
    </row>
    <row r="7" spans="1:13">
      <c r="A7" s="17"/>
      <c r="B7" s="3">
        <v>4</v>
      </c>
      <c r="C7" s="4" t="s">
        <v>804</v>
      </c>
      <c r="D7" s="3">
        <v>16127004</v>
      </c>
      <c r="E7" s="4"/>
      <c r="F7" s="65">
        <v>17491</v>
      </c>
      <c r="G7" s="4" t="s">
        <v>838</v>
      </c>
      <c r="H7" s="10"/>
      <c r="I7" s="3" t="s">
        <v>661</v>
      </c>
      <c r="J7" s="168">
        <v>45946</v>
      </c>
      <c r="K7" s="3" t="s">
        <v>653</v>
      </c>
      <c r="L7" s="5" t="s">
        <v>839</v>
      </c>
    </row>
    <row r="8" spans="1:13">
      <c r="A8" s="17"/>
      <c r="B8" s="3">
        <v>5</v>
      </c>
      <c r="C8" s="4" t="s">
        <v>804</v>
      </c>
      <c r="D8" s="3">
        <v>16127005</v>
      </c>
      <c r="E8" s="4"/>
      <c r="F8" s="65">
        <v>17851</v>
      </c>
      <c r="G8" s="4" t="s">
        <v>838</v>
      </c>
      <c r="H8" s="10"/>
      <c r="I8" s="3" t="s">
        <v>857</v>
      </c>
      <c r="J8" s="168">
        <v>45975</v>
      </c>
      <c r="K8" s="3" t="s">
        <v>653</v>
      </c>
    </row>
    <row r="9" spans="1:13">
      <c r="A9" s="17"/>
      <c r="B9" s="3">
        <v>6</v>
      </c>
      <c r="C9" s="4" t="s">
        <v>804</v>
      </c>
      <c r="D9" s="3">
        <v>16127006</v>
      </c>
      <c r="E9" s="4"/>
      <c r="F9" s="65">
        <v>18142</v>
      </c>
      <c r="G9" s="4" t="s">
        <v>838</v>
      </c>
      <c r="H9" s="10"/>
      <c r="I9" s="3" t="s">
        <v>505</v>
      </c>
      <c r="J9" s="168">
        <v>46008</v>
      </c>
      <c r="K9" s="3" t="s">
        <v>653</v>
      </c>
    </row>
    <row r="10" spans="1:13">
      <c r="A10" s="17"/>
      <c r="B10" s="3">
        <v>7</v>
      </c>
      <c r="C10" s="4"/>
      <c r="D10" s="3">
        <v>16127007</v>
      </c>
      <c r="E10" s="4"/>
      <c r="F10" s="65"/>
      <c r="G10" s="4"/>
      <c r="H10" s="10"/>
      <c r="I10" s="3"/>
      <c r="J10" s="1"/>
      <c r="K10" s="3"/>
    </row>
    <row r="11" spans="1:13">
      <c r="A11" s="17"/>
      <c r="B11" s="3">
        <v>8</v>
      </c>
      <c r="C11" s="4"/>
      <c r="D11" s="3">
        <v>16127008</v>
      </c>
      <c r="E11" s="4"/>
      <c r="F11" s="65"/>
      <c r="G11" s="4"/>
      <c r="H11" s="10"/>
      <c r="I11" s="3"/>
      <c r="J11" s="1"/>
      <c r="K11" s="3"/>
    </row>
    <row r="12" spans="1:13">
      <c r="A12" s="17"/>
      <c r="B12" s="3">
        <v>9</v>
      </c>
      <c r="C12" s="4"/>
      <c r="D12" s="3">
        <v>16127009</v>
      </c>
      <c r="E12" s="4"/>
      <c r="F12" s="65"/>
      <c r="G12" s="4"/>
      <c r="H12" s="10"/>
      <c r="I12" s="3"/>
      <c r="J12" s="1"/>
      <c r="K12" s="3"/>
    </row>
    <row r="13" spans="1:13">
      <c r="A13" s="17"/>
      <c r="B13" s="3">
        <v>10</v>
      </c>
      <c r="C13" s="4"/>
      <c r="D13" s="3">
        <v>16127010</v>
      </c>
      <c r="E13" s="4"/>
      <c r="F13" s="65"/>
      <c r="G13" s="4"/>
      <c r="H13" s="10"/>
      <c r="I13" s="3"/>
      <c r="J13" s="1"/>
      <c r="K13" s="3"/>
    </row>
    <row r="14" spans="1:13">
      <c r="A14" s="17"/>
      <c r="B14" s="3">
        <v>11</v>
      </c>
      <c r="C14" s="4"/>
      <c r="D14" s="3">
        <v>16127011</v>
      </c>
      <c r="E14" s="4"/>
      <c r="F14" s="65"/>
      <c r="G14" s="4"/>
      <c r="H14" s="10"/>
      <c r="I14" s="3"/>
      <c r="J14" s="1"/>
      <c r="K14" s="3"/>
    </row>
    <row r="15" spans="1:13">
      <c r="A15" s="17"/>
      <c r="B15" s="3">
        <v>12</v>
      </c>
      <c r="C15" s="4"/>
      <c r="D15" s="3">
        <v>16127012</v>
      </c>
      <c r="E15" s="4"/>
      <c r="F15" s="65"/>
      <c r="G15" s="4"/>
      <c r="H15" s="10"/>
      <c r="I15" s="3"/>
      <c r="J15" s="1"/>
      <c r="K15" s="3"/>
    </row>
    <row r="16" spans="1:13">
      <c r="A16" s="17"/>
      <c r="B16" s="3">
        <v>13</v>
      </c>
      <c r="C16" s="4"/>
      <c r="D16" s="3">
        <v>16127013</v>
      </c>
      <c r="E16" s="4"/>
      <c r="F16" s="65"/>
      <c r="G16" s="4"/>
      <c r="H16" s="10"/>
      <c r="I16" s="3"/>
      <c r="J16" s="1"/>
      <c r="K16" s="3"/>
    </row>
    <row r="17" spans="1:12">
      <c r="A17" s="17"/>
      <c r="B17" s="3">
        <v>14</v>
      </c>
      <c r="C17" s="4"/>
      <c r="D17" s="3">
        <v>16127014</v>
      </c>
      <c r="E17" s="4"/>
      <c r="F17" s="65"/>
      <c r="G17" s="4"/>
      <c r="H17" s="10"/>
      <c r="I17" s="3"/>
      <c r="J17" s="1"/>
      <c r="K17" s="3"/>
    </row>
    <row r="18" spans="1:12">
      <c r="A18" s="17"/>
      <c r="B18" s="3">
        <v>15</v>
      </c>
      <c r="C18" s="4"/>
      <c r="D18" s="3">
        <v>16127015</v>
      </c>
      <c r="E18" s="4"/>
      <c r="F18" s="65"/>
      <c r="G18" s="4"/>
      <c r="H18" s="10"/>
      <c r="I18" s="3"/>
      <c r="J18" s="1"/>
      <c r="K18" s="3"/>
    </row>
    <row r="19" spans="1:12">
      <c r="A19" s="17"/>
      <c r="B19" s="3">
        <v>16</v>
      </c>
      <c r="C19" s="4"/>
      <c r="D19" s="3">
        <v>16127016</v>
      </c>
      <c r="E19" s="4"/>
      <c r="F19" s="65"/>
      <c r="G19" s="4"/>
      <c r="H19" s="10"/>
      <c r="I19" s="3"/>
      <c r="J19" s="1"/>
      <c r="K19" s="3"/>
    </row>
    <row r="20" spans="1:12">
      <c r="A20" s="17"/>
      <c r="B20" s="3">
        <v>17</v>
      </c>
      <c r="C20" s="4"/>
      <c r="D20" s="3">
        <v>16127017</v>
      </c>
      <c r="E20" s="4"/>
      <c r="F20" s="65"/>
      <c r="G20" s="4"/>
      <c r="H20" s="10"/>
      <c r="I20" s="3"/>
      <c r="J20" s="1"/>
      <c r="K20" s="3"/>
    </row>
    <row r="21" spans="1:12">
      <c r="A21" s="17"/>
      <c r="B21" s="3">
        <v>18</v>
      </c>
      <c r="C21" s="4"/>
      <c r="D21" s="3">
        <v>16127018</v>
      </c>
      <c r="E21" s="4"/>
      <c r="F21" s="65"/>
      <c r="G21" s="4"/>
      <c r="H21" s="10"/>
      <c r="I21" s="3"/>
      <c r="J21" s="1"/>
      <c r="K21" s="3"/>
    </row>
    <row r="22" spans="1:12">
      <c r="A22" s="17"/>
      <c r="B22" s="3">
        <v>19</v>
      </c>
      <c r="C22" s="4"/>
      <c r="D22" s="3">
        <v>16127019</v>
      </c>
      <c r="E22" s="4"/>
      <c r="F22" s="65"/>
      <c r="G22" s="4"/>
      <c r="H22" s="10"/>
      <c r="I22" s="3"/>
      <c r="J22" s="1"/>
      <c r="K22" s="3"/>
    </row>
    <row r="23" spans="1:12">
      <c r="A23" s="17"/>
      <c r="B23" s="3">
        <v>20</v>
      </c>
      <c r="C23" s="4"/>
      <c r="D23" s="3">
        <v>16127020</v>
      </c>
      <c r="E23" s="4"/>
      <c r="F23" s="65"/>
      <c r="G23" s="4"/>
      <c r="H23" s="10"/>
      <c r="I23" s="3"/>
      <c r="J23" s="1"/>
      <c r="K23" s="3"/>
    </row>
    <row r="24" spans="1:12">
      <c r="A24" s="17"/>
      <c r="B24" s="3">
        <v>21</v>
      </c>
      <c r="C24" s="4"/>
      <c r="D24" s="3">
        <v>16127021</v>
      </c>
      <c r="E24" s="4"/>
      <c r="F24" s="65"/>
      <c r="G24" s="4"/>
      <c r="H24" s="10"/>
      <c r="I24" s="3"/>
      <c r="J24" s="1"/>
      <c r="K24" s="3"/>
    </row>
    <row r="25" spans="1:12">
      <c r="A25" s="17"/>
      <c r="B25" s="3">
        <v>22</v>
      </c>
      <c r="C25" s="4"/>
      <c r="D25" s="3">
        <v>16127022</v>
      </c>
      <c r="E25" s="4"/>
      <c r="F25" s="65"/>
      <c r="G25" s="4"/>
      <c r="H25" s="10"/>
      <c r="I25" s="3"/>
      <c r="J25" s="1"/>
      <c r="K25" s="3"/>
    </row>
    <row r="26" spans="1:12">
      <c r="A26" s="17"/>
      <c r="B26" s="3">
        <v>23</v>
      </c>
      <c r="C26" s="4"/>
      <c r="D26" s="3">
        <v>16127023</v>
      </c>
      <c r="E26" s="4"/>
      <c r="F26" s="65"/>
      <c r="G26" s="4"/>
      <c r="H26" s="10"/>
      <c r="I26" s="3"/>
      <c r="J26" s="1"/>
      <c r="K26" s="3"/>
    </row>
    <row r="27" spans="1:12">
      <c r="A27" s="149"/>
      <c r="B27" s="3">
        <v>24</v>
      </c>
      <c r="C27" s="151"/>
      <c r="D27" s="3">
        <v>16127024</v>
      </c>
      <c r="E27" s="151"/>
      <c r="F27" s="153"/>
      <c r="G27" s="151"/>
      <c r="H27" s="154"/>
      <c r="I27" s="150"/>
      <c r="J27" s="155"/>
      <c r="K27" s="150"/>
    </row>
    <row r="28" spans="1:12">
      <c r="A28" s="3"/>
      <c r="B28" s="3"/>
      <c r="C28" s="4"/>
      <c r="D28" s="3">
        <v>16127025</v>
      </c>
      <c r="E28" s="4"/>
      <c r="F28" s="65"/>
      <c r="G28" s="4"/>
      <c r="H28" s="10"/>
      <c r="I28" s="3"/>
      <c r="J28" s="1"/>
      <c r="K28" s="3"/>
      <c r="L28" s="4"/>
    </row>
    <row r="29" spans="1:12">
      <c r="A29" s="3"/>
      <c r="B29" s="3"/>
      <c r="C29" s="4"/>
      <c r="D29" s="3"/>
      <c r="E29" s="4"/>
      <c r="F29" s="65"/>
      <c r="G29" s="4"/>
      <c r="H29" s="10"/>
      <c r="I29" s="3"/>
      <c r="J29" s="1"/>
      <c r="K29" s="3"/>
      <c r="L29" s="4"/>
    </row>
    <row r="30" spans="1:12">
      <c r="A30" s="3"/>
      <c r="B30" s="3"/>
      <c r="C30" s="4"/>
      <c r="D30" s="3"/>
      <c r="E30" s="4"/>
      <c r="F30" s="65"/>
      <c r="G30" s="4"/>
      <c r="H30" s="10"/>
      <c r="I30" s="3"/>
      <c r="J30" s="1"/>
      <c r="K30" s="3"/>
      <c r="L30" s="4"/>
    </row>
    <row r="31" spans="1:12">
      <c r="A31" s="3"/>
      <c r="B31" s="3"/>
      <c r="C31" s="151"/>
      <c r="D31" s="3"/>
      <c r="E31" s="4"/>
      <c r="F31" s="65"/>
      <c r="G31" s="151"/>
      <c r="H31" s="154"/>
      <c r="I31" s="150"/>
      <c r="J31" s="155"/>
      <c r="K31" s="150"/>
      <c r="L31" s="4"/>
    </row>
    <row r="32" spans="1:12">
      <c r="A32" s="3"/>
      <c r="B32" s="3"/>
      <c r="C32" s="4"/>
      <c r="D32" s="3"/>
      <c r="E32" s="4"/>
      <c r="F32" s="65"/>
      <c r="G32" s="4"/>
      <c r="H32" s="10"/>
      <c r="I32" s="3"/>
      <c r="J32" s="1"/>
      <c r="K32" s="3"/>
      <c r="L32" s="4"/>
    </row>
    <row r="33" spans="1:12">
      <c r="A33" s="3"/>
      <c r="B33" s="3"/>
      <c r="C33" s="151"/>
      <c r="D33" s="3"/>
      <c r="E33" s="4"/>
      <c r="F33" s="65"/>
      <c r="G33" s="151"/>
      <c r="H33" s="154"/>
      <c r="I33" s="150"/>
      <c r="J33" s="155"/>
      <c r="K33" s="150"/>
      <c r="L33" s="4"/>
    </row>
    <row r="34" spans="1:12">
      <c r="A34" s="3"/>
      <c r="B34" s="3"/>
      <c r="C34" s="151"/>
      <c r="D34" s="3"/>
      <c r="E34" s="4"/>
      <c r="F34" s="65"/>
      <c r="G34" s="4"/>
      <c r="H34" s="10"/>
      <c r="I34" s="150"/>
      <c r="J34" s="155"/>
      <c r="K34" s="150"/>
      <c r="L34" s="4"/>
    </row>
    <row r="35" spans="1:12">
      <c r="A35" s="3"/>
      <c r="B35" s="3"/>
      <c r="C35" s="151"/>
      <c r="D35" s="3"/>
      <c r="E35" s="4"/>
      <c r="F35" s="65"/>
      <c r="G35" s="151"/>
      <c r="H35" s="10"/>
      <c r="I35" s="150"/>
      <c r="J35" s="155"/>
      <c r="K35" s="150"/>
      <c r="L35" s="4"/>
    </row>
    <row r="36" spans="1:12">
      <c r="A36" s="3"/>
      <c r="B36" s="3"/>
      <c r="C36" s="4"/>
      <c r="D36" s="3"/>
      <c r="E36" s="4"/>
      <c r="F36" s="65"/>
      <c r="G36" s="4"/>
      <c r="H36" s="10"/>
      <c r="I36" s="150"/>
      <c r="J36" s="155"/>
      <c r="K36" s="150"/>
      <c r="L36" s="4"/>
    </row>
    <row r="37" spans="1:12">
      <c r="A37" s="3"/>
      <c r="B37" s="3"/>
      <c r="C37" s="4"/>
      <c r="D37" s="3"/>
      <c r="E37" s="4"/>
      <c r="F37" s="65"/>
      <c r="G37" s="151"/>
      <c r="H37" s="10"/>
      <c r="I37" s="150"/>
      <c r="J37" s="155"/>
      <c r="K37" s="150"/>
      <c r="L37" s="4"/>
    </row>
    <row r="38" spans="1:12">
      <c r="A38" s="3"/>
      <c r="B38" s="3"/>
      <c r="C38" s="4"/>
      <c r="D38" s="3"/>
      <c r="E38" s="4"/>
      <c r="F38" s="65"/>
      <c r="G38" s="4"/>
      <c r="H38" s="10"/>
      <c r="I38" s="150"/>
      <c r="J38" s="155"/>
      <c r="K38" s="150"/>
      <c r="L38" s="4"/>
    </row>
    <row r="39" spans="1:12">
      <c r="A39" s="3"/>
      <c r="B39" s="3"/>
      <c r="C39" s="4"/>
      <c r="D39" s="3"/>
      <c r="E39" s="4"/>
      <c r="F39" s="65"/>
      <c r="G39" s="151"/>
      <c r="H39" s="10"/>
      <c r="I39" s="150"/>
      <c r="J39" s="155"/>
      <c r="K39" s="150"/>
      <c r="L39" s="4"/>
    </row>
    <row r="40" spans="1:12">
      <c r="A40" s="3"/>
      <c r="B40" s="3"/>
      <c r="C40" s="4"/>
      <c r="D40" s="3"/>
      <c r="E40" s="4"/>
      <c r="F40" s="65"/>
      <c r="G40" s="4"/>
      <c r="H40" s="10"/>
      <c r="I40" s="150"/>
      <c r="J40" s="155"/>
      <c r="K40" s="150"/>
      <c r="L40" s="4"/>
    </row>
    <row r="41" spans="1:12">
      <c r="A41" s="3"/>
      <c r="B41" s="3"/>
      <c r="C41" s="4"/>
      <c r="D41" s="3"/>
      <c r="E41" s="4"/>
      <c r="F41" s="65"/>
      <c r="G41" s="151"/>
      <c r="H41" s="10"/>
      <c r="I41" s="150"/>
      <c r="J41" s="155"/>
      <c r="K41" s="150"/>
      <c r="L41" s="4"/>
    </row>
    <row r="42" spans="1:12">
      <c r="A42" s="3"/>
      <c r="B42" s="3"/>
      <c r="C42" s="4"/>
      <c r="D42" s="3"/>
      <c r="E42" s="4"/>
      <c r="F42" s="65"/>
      <c r="G42" s="4"/>
      <c r="H42" s="10"/>
      <c r="I42" s="150"/>
      <c r="J42" s="155"/>
      <c r="K42" s="150"/>
      <c r="L42" s="4"/>
    </row>
    <row r="43" spans="1:12">
      <c r="A43" s="3"/>
      <c r="B43" s="3"/>
      <c r="C43" s="4"/>
      <c r="D43" s="3"/>
      <c r="E43" s="4"/>
      <c r="F43" s="65"/>
      <c r="G43" s="151"/>
      <c r="H43" s="10"/>
      <c r="I43" s="150"/>
      <c r="J43" s="155"/>
      <c r="K43" s="150"/>
      <c r="L43" s="4"/>
    </row>
    <row r="44" spans="1:12">
      <c r="A44" s="3"/>
      <c r="B44" s="3"/>
      <c r="C44" s="4"/>
      <c r="D44" s="3"/>
      <c r="E44" s="4"/>
      <c r="F44" s="65"/>
      <c r="G44" s="4"/>
      <c r="H44" s="10"/>
      <c r="I44" s="3"/>
      <c r="J44" s="144"/>
      <c r="K44" s="3"/>
      <c r="L44" s="4"/>
    </row>
    <row r="45" spans="1:12">
      <c r="A45" s="3"/>
      <c r="B45" s="3"/>
      <c r="C45" s="4"/>
      <c r="D45" s="3"/>
      <c r="E45" s="4"/>
      <c r="F45" s="65"/>
      <c r="G45" s="151"/>
      <c r="H45" s="10"/>
      <c r="I45" s="3"/>
      <c r="J45" s="144"/>
      <c r="K45" s="3"/>
      <c r="L45" s="4"/>
    </row>
    <row r="46" spans="1:12">
      <c r="A46" s="3"/>
      <c r="B46" s="3"/>
      <c r="C46" s="4"/>
      <c r="D46" s="3"/>
      <c r="E46" s="4"/>
      <c r="F46" s="65"/>
      <c r="G46" s="4"/>
      <c r="H46" s="10"/>
      <c r="I46" s="3"/>
      <c r="J46" s="144"/>
      <c r="K46" s="3"/>
      <c r="L46" s="4"/>
    </row>
    <row r="47" spans="1:12">
      <c r="A47" s="3"/>
      <c r="B47" s="3"/>
      <c r="C47" s="4"/>
      <c r="D47" s="3"/>
      <c r="E47" s="4"/>
      <c r="F47" s="65"/>
      <c r="G47" s="151"/>
      <c r="H47" s="10"/>
      <c r="I47" s="3"/>
      <c r="J47" s="144"/>
      <c r="K47" s="3"/>
      <c r="L47" s="4"/>
    </row>
    <row r="48" spans="1:12">
      <c r="A48" s="3"/>
      <c r="B48" s="3"/>
      <c r="C48" s="4"/>
      <c r="D48" s="3"/>
      <c r="E48" s="4"/>
      <c r="F48" s="65"/>
      <c r="G48" s="4"/>
      <c r="H48" s="10"/>
      <c r="I48" s="3"/>
      <c r="J48" s="144"/>
      <c r="K48" s="3"/>
      <c r="L48" s="4"/>
    </row>
    <row r="49" spans="1:12">
      <c r="A49" s="3"/>
      <c r="B49" s="3"/>
      <c r="C49" s="4"/>
      <c r="D49" s="3"/>
      <c r="E49" s="4"/>
      <c r="F49" s="65"/>
      <c r="G49" s="151"/>
      <c r="H49" s="10"/>
      <c r="I49" s="3"/>
      <c r="J49" s="144"/>
      <c r="K49" s="3"/>
      <c r="L49" s="4"/>
    </row>
    <row r="50" spans="1:12">
      <c r="A50" s="3"/>
      <c r="B50" s="3"/>
      <c r="C50" s="4"/>
      <c r="D50" s="3"/>
      <c r="E50" s="4"/>
      <c r="F50" s="65"/>
      <c r="G50" s="4"/>
      <c r="H50" s="10"/>
      <c r="I50" s="3"/>
      <c r="J50" s="144"/>
      <c r="K50" s="3"/>
      <c r="L50" s="4"/>
    </row>
    <row r="51" spans="1:12">
      <c r="A51" s="3"/>
      <c r="B51" s="3"/>
      <c r="C51" s="4"/>
      <c r="D51" s="3"/>
      <c r="E51" s="4"/>
      <c r="F51" s="65"/>
      <c r="G51" s="151"/>
      <c r="H51" s="10"/>
      <c r="I51" s="3"/>
      <c r="J51" s="144"/>
      <c r="K51" s="3"/>
      <c r="L51" s="4"/>
    </row>
    <row r="52" spans="1:12">
      <c r="A52" s="3"/>
      <c r="B52" s="3"/>
      <c r="C52" s="4"/>
      <c r="D52" s="3"/>
      <c r="E52" s="4"/>
      <c r="F52" s="65"/>
      <c r="G52" s="4"/>
      <c r="H52" s="10"/>
      <c r="I52" s="3"/>
      <c r="J52" s="144"/>
      <c r="K52" s="3"/>
      <c r="L52" s="4"/>
    </row>
    <row r="53" spans="1:12">
      <c r="A53" s="3"/>
      <c r="B53" s="3"/>
      <c r="C53" s="4"/>
      <c r="D53" s="3"/>
      <c r="E53" s="4"/>
      <c r="F53" s="65"/>
      <c r="G53" s="151"/>
      <c r="H53" s="10"/>
      <c r="I53" s="3"/>
      <c r="J53" s="144"/>
      <c r="K53" s="3"/>
      <c r="L53" s="4"/>
    </row>
    <row r="54" spans="1:12">
      <c r="A54" s="3"/>
      <c r="B54" s="3"/>
      <c r="C54" s="4"/>
      <c r="D54" s="3"/>
      <c r="E54" s="4"/>
      <c r="F54" s="65"/>
      <c r="G54" s="4"/>
      <c r="H54" s="10"/>
      <c r="I54" s="3"/>
      <c r="J54" s="3"/>
      <c r="K54" s="3"/>
      <c r="L54" s="4"/>
    </row>
    <row r="55" spans="1:12">
      <c r="A55" s="3"/>
      <c r="B55" s="3">
        <v>52</v>
      </c>
      <c r="C55" s="4"/>
      <c r="D55" s="3">
        <v>16120067</v>
      </c>
      <c r="E55" s="4"/>
      <c r="F55" s="65"/>
      <c r="G55" s="4"/>
      <c r="H55" s="10"/>
      <c r="I55" s="3"/>
      <c r="J55" s="3"/>
      <c r="K55" s="3"/>
      <c r="L55" s="4"/>
    </row>
    <row r="56" spans="1:12">
      <c r="A56" s="3"/>
      <c r="B56" s="3">
        <v>53</v>
      </c>
      <c r="C56" s="4"/>
      <c r="D56" s="3">
        <v>16120068</v>
      </c>
      <c r="E56" s="4"/>
      <c r="F56" s="65"/>
      <c r="G56" s="4"/>
      <c r="H56" s="10"/>
      <c r="I56" s="3"/>
      <c r="J56" s="3"/>
      <c r="K56" s="3"/>
      <c r="L56" s="4"/>
    </row>
    <row r="57" spans="1:12">
      <c r="A57" s="3"/>
      <c r="B57" s="3">
        <v>54</v>
      </c>
      <c r="C57" s="4"/>
      <c r="D57" s="3">
        <v>16120069</v>
      </c>
      <c r="E57" s="4"/>
      <c r="F57" s="65"/>
      <c r="G57" s="4"/>
      <c r="H57" s="10"/>
      <c r="I57" s="3"/>
      <c r="J57" s="3"/>
      <c r="K57" s="3"/>
      <c r="L57" s="4"/>
    </row>
    <row r="58" spans="1:12">
      <c r="A58" s="3"/>
      <c r="B58" s="3">
        <v>55</v>
      </c>
      <c r="C58" s="4"/>
      <c r="D58" s="3">
        <v>16120070</v>
      </c>
      <c r="E58" s="4"/>
      <c r="F58" s="65"/>
      <c r="G58" s="4"/>
      <c r="H58" s="10"/>
      <c r="I58" s="3"/>
      <c r="J58" s="3"/>
      <c r="K58" s="3"/>
      <c r="L58" s="4"/>
    </row>
    <row r="59" spans="1:12">
      <c r="A59" s="3"/>
      <c r="B59" s="3">
        <v>56</v>
      </c>
      <c r="C59" s="4"/>
      <c r="D59" s="3">
        <v>16120071</v>
      </c>
      <c r="E59" s="4"/>
      <c r="F59" s="65"/>
      <c r="G59" s="4"/>
      <c r="H59" s="10"/>
      <c r="I59" s="3"/>
      <c r="J59" s="3"/>
      <c r="K59" s="3"/>
      <c r="L59" s="4"/>
    </row>
    <row r="60" spans="1:12">
      <c r="A60" s="3"/>
      <c r="B60" s="3">
        <v>57</v>
      </c>
      <c r="C60" s="4"/>
      <c r="D60" s="3">
        <v>16120072</v>
      </c>
      <c r="E60" s="4"/>
      <c r="F60" s="65"/>
      <c r="G60" s="4"/>
      <c r="H60" s="10"/>
      <c r="I60" s="3"/>
      <c r="J60" s="3"/>
      <c r="K60" s="3"/>
      <c r="L60" s="4"/>
    </row>
    <row r="61" spans="1:12">
      <c r="A61" s="3"/>
      <c r="B61" s="3">
        <v>58</v>
      </c>
      <c r="C61" s="4"/>
      <c r="D61" s="3">
        <v>16120073</v>
      </c>
      <c r="E61" s="4"/>
      <c r="F61" s="65"/>
      <c r="G61" s="4"/>
      <c r="H61" s="10"/>
      <c r="I61" s="3"/>
      <c r="J61" s="3"/>
      <c r="K61" s="3"/>
      <c r="L61" s="4"/>
    </row>
    <row r="62" spans="1:12">
      <c r="A62" s="3"/>
      <c r="B62" s="3">
        <v>59</v>
      </c>
      <c r="C62" s="4"/>
      <c r="D62" s="3">
        <v>16120074</v>
      </c>
      <c r="E62" s="4"/>
      <c r="F62" s="65"/>
      <c r="G62" s="4"/>
      <c r="H62" s="10"/>
      <c r="I62" s="3"/>
      <c r="J62" s="3"/>
      <c r="K62" s="3"/>
      <c r="L62" s="4"/>
    </row>
    <row r="63" spans="1:12">
      <c r="A63" s="3"/>
      <c r="B63" s="3">
        <v>60</v>
      </c>
      <c r="C63" s="4"/>
      <c r="D63" s="3">
        <v>16120075</v>
      </c>
      <c r="E63" s="4"/>
      <c r="F63" s="65"/>
      <c r="G63" s="4"/>
      <c r="H63" s="10"/>
      <c r="I63" s="3"/>
      <c r="J63" s="3"/>
      <c r="K63" s="3"/>
      <c r="L63" s="4"/>
    </row>
    <row r="64" spans="1:12">
      <c r="A64" s="3"/>
      <c r="B64" s="3">
        <v>61</v>
      </c>
      <c r="C64" s="4"/>
      <c r="D64" s="3">
        <v>16120076</v>
      </c>
      <c r="E64" s="4"/>
      <c r="F64" s="65"/>
      <c r="G64" s="4"/>
      <c r="H64" s="10"/>
      <c r="I64" s="3"/>
      <c r="J64" s="3"/>
      <c r="K64" s="3"/>
      <c r="L64" s="4"/>
    </row>
    <row r="65" spans="1:12">
      <c r="A65" s="3"/>
      <c r="B65" s="3">
        <v>62</v>
      </c>
      <c r="C65" s="4"/>
      <c r="D65" s="3">
        <v>16120077</v>
      </c>
      <c r="E65" s="4"/>
      <c r="F65" s="65"/>
      <c r="G65" s="4"/>
      <c r="H65" s="10"/>
      <c r="I65" s="3"/>
      <c r="J65" s="3"/>
      <c r="K65" s="3"/>
      <c r="L65" s="4"/>
    </row>
    <row r="66" spans="1:12">
      <c r="A66" s="3"/>
      <c r="B66" s="3">
        <v>63</v>
      </c>
      <c r="C66" s="4"/>
      <c r="D66" s="3">
        <v>16120078</v>
      </c>
      <c r="E66" s="4"/>
      <c r="F66" s="65"/>
      <c r="G66" s="4"/>
      <c r="H66" s="10"/>
      <c r="I66" s="3"/>
      <c r="J66" s="3"/>
      <c r="K66" s="3"/>
      <c r="L66" s="4"/>
    </row>
    <row r="67" spans="1:12">
      <c r="A67" s="3"/>
      <c r="B67" s="3">
        <v>64</v>
      </c>
      <c r="C67" s="4"/>
      <c r="D67" s="3">
        <v>16120079</v>
      </c>
      <c r="E67" s="4"/>
      <c r="F67" s="65"/>
      <c r="G67" s="4"/>
      <c r="H67" s="10"/>
      <c r="I67" s="3"/>
      <c r="J67" s="3"/>
      <c r="K67" s="3"/>
      <c r="L67" s="4"/>
    </row>
    <row r="68" spans="1:12">
      <c r="A68" s="3"/>
      <c r="B68" s="3">
        <v>65</v>
      </c>
      <c r="C68" s="4"/>
      <c r="D68" s="3">
        <v>16120080</v>
      </c>
      <c r="E68" s="4"/>
      <c r="F68" s="65"/>
      <c r="G68" s="4"/>
      <c r="H68" s="10"/>
      <c r="I68" s="3"/>
      <c r="J68" s="3"/>
      <c r="K68" s="3"/>
      <c r="L68" s="4"/>
    </row>
    <row r="69" spans="1:12">
      <c r="A69" s="3"/>
      <c r="B69" s="3">
        <v>66</v>
      </c>
      <c r="C69" s="4"/>
      <c r="D69" s="3">
        <v>16120081</v>
      </c>
      <c r="E69" s="4"/>
      <c r="F69" s="65"/>
      <c r="G69" s="4"/>
      <c r="H69" s="10"/>
      <c r="I69" s="3"/>
      <c r="J69" s="3"/>
      <c r="K69" s="3"/>
      <c r="L69" s="4"/>
    </row>
    <row r="70" spans="1:12">
      <c r="A70" s="3"/>
      <c r="B70" s="3">
        <v>67</v>
      </c>
      <c r="C70" s="4"/>
      <c r="D70" s="3">
        <v>16120082</v>
      </c>
      <c r="E70" s="4"/>
      <c r="F70" s="65"/>
      <c r="G70" s="4"/>
      <c r="H70" s="10"/>
      <c r="I70" s="3"/>
      <c r="J70" s="3"/>
      <c r="K70" s="3"/>
      <c r="L70" s="4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28" priority="1" operator="containsText" text="見積！">
      <formula>NOT(ISERROR(SEARCH("見積！",A1)))</formula>
    </cfRule>
  </conditionalFormatting>
  <conditionalFormatting sqref="A4:A1048576">
    <cfRule type="containsText" dxfId="27" priority="2" operator="containsText" text="着手">
      <formula>NOT(ISERROR(SEARCH("着手",A4)))</formula>
    </cfRule>
    <cfRule type="containsText" dxfId="26" priority="3" operator="containsText" text="見積完了">
      <formula>NOT(ISERROR(SEARCH("見積完了",A4)))</formula>
    </cfRule>
    <cfRule type="containsText" dxfId="25" priority="4" operator="containsText" text="中止">
      <formula>NOT(ISERROR(SEARCH("中止",A4)))</formula>
    </cfRule>
    <cfRule type="containsText" dxfId="24" priority="5" operator="containsText" text="保留">
      <formula>NOT(ISERROR(SEARCH("保留",A4)))</formula>
    </cfRule>
    <cfRule type="containsText" dxfId="23" priority="6" operator="containsText" text="進行中">
      <formula>NOT(ISERROR(SEARCH("進行中",A4)))</formula>
    </cfRule>
    <cfRule type="containsText" dxfId="22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G2:G1048576 I1:I1048576 K1:L1048576" xr:uid="{9D7E6F36-AF29-4FBB-8A7A-3546137F38AF}"/>
    <dataValidation imeMode="off" allowBlank="1" showInputMessage="1" showErrorMessage="1" sqref="G1 D1:F1048576 H1:H1048576 B1:B1048576 J1:J1048576" xr:uid="{3B4F339C-8624-4B7D-AF40-DD6F2B56693C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7BC395-9716-4E2C-BE3F-51ACF03EB0FC}">
          <x14:formula1>
            <xm:f>タスク!$B$3:$B$14</xm:f>
          </x14:formula1>
          <xm:sqref>A4:A1048576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638E-76D8-4147-B468-DC378B280BEF}">
  <sheetPr codeName="Sheet20">
    <tabColor rgb="FF92D050"/>
    <pageSetUpPr fitToPage="1"/>
  </sheetPr>
  <dimension ref="A1:M34"/>
  <sheetViews>
    <sheetView zoomScaleNormal="100" workbookViewId="0">
      <pane ySplit="3" topLeftCell="A4" activePane="bottomLeft" state="frozen"/>
      <selection activeCell="A11" sqref="A11"/>
      <selection pane="bottomLeft" activeCell="H5" sqref="H5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501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475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hidden="1" thickTop="1">
      <c r="A4" s="17"/>
      <c r="B4" s="3">
        <v>1</v>
      </c>
      <c r="C4" s="4" t="s">
        <v>475</v>
      </c>
      <c r="D4" s="3">
        <v>16123001</v>
      </c>
      <c r="E4" s="4" t="s">
        <v>259</v>
      </c>
      <c r="F4" s="65" t="s">
        <v>31</v>
      </c>
      <c r="G4" s="4" t="s">
        <v>476</v>
      </c>
      <c r="H4" s="10">
        <v>5579600</v>
      </c>
      <c r="I4" s="3" t="s">
        <v>85</v>
      </c>
      <c r="J4" s="1">
        <v>45188</v>
      </c>
      <c r="K4" s="3" t="s">
        <v>477</v>
      </c>
    </row>
    <row r="5" spans="1:13" ht="18.600000000000001" thickTop="1">
      <c r="A5" s="17"/>
      <c r="B5" s="3">
        <v>2</v>
      </c>
      <c r="C5" s="4" t="s">
        <v>475</v>
      </c>
      <c r="D5" s="3">
        <v>16123002</v>
      </c>
      <c r="E5" s="4"/>
      <c r="F5" s="65" t="s">
        <v>31</v>
      </c>
      <c r="G5" s="4" t="s">
        <v>524</v>
      </c>
      <c r="H5" s="10"/>
      <c r="I5" s="3" t="s">
        <v>74</v>
      </c>
      <c r="J5" s="1">
        <v>44964</v>
      </c>
      <c r="K5" s="3" t="s">
        <v>477</v>
      </c>
    </row>
    <row r="6" spans="1:13">
      <c r="A6" s="17"/>
      <c r="B6" s="3">
        <v>3</v>
      </c>
      <c r="C6" s="4"/>
      <c r="D6" s="3">
        <v>16123003</v>
      </c>
      <c r="E6" s="4"/>
      <c r="F6" s="65"/>
      <c r="G6" s="4"/>
      <c r="H6" s="10"/>
      <c r="I6" s="3"/>
      <c r="J6" s="1"/>
      <c r="K6" s="3"/>
    </row>
    <row r="7" spans="1:13">
      <c r="A7" s="17"/>
      <c r="B7" s="3">
        <v>4</v>
      </c>
      <c r="C7" s="4"/>
      <c r="D7" s="3">
        <v>16123004</v>
      </c>
      <c r="E7" s="4"/>
      <c r="F7" s="65"/>
      <c r="G7" s="4"/>
      <c r="H7" s="10"/>
      <c r="I7" s="3"/>
      <c r="J7" s="1"/>
      <c r="K7" s="3"/>
    </row>
    <row r="8" spans="1:13">
      <c r="A8" s="17"/>
      <c r="B8" s="3">
        <v>5</v>
      </c>
      <c r="C8" s="4"/>
      <c r="D8" s="3">
        <v>16123005</v>
      </c>
      <c r="E8" s="4"/>
      <c r="F8" s="65"/>
      <c r="G8" s="4"/>
      <c r="H8" s="10"/>
      <c r="I8" s="3"/>
      <c r="J8" s="1"/>
      <c r="K8" s="3"/>
    </row>
    <row r="9" spans="1:13">
      <c r="A9" s="17"/>
      <c r="B9" s="3">
        <v>6</v>
      </c>
      <c r="C9" s="4"/>
      <c r="D9" s="3">
        <v>16123006</v>
      </c>
      <c r="E9" s="4"/>
      <c r="F9" s="65"/>
      <c r="G9" s="4"/>
      <c r="H9" s="10"/>
      <c r="I9" s="3"/>
      <c r="J9" s="1"/>
      <c r="K9" s="3"/>
    </row>
    <row r="10" spans="1:13">
      <c r="A10" s="17"/>
      <c r="B10" s="3">
        <v>7</v>
      </c>
      <c r="C10" s="4"/>
      <c r="D10" s="3">
        <v>16123007</v>
      </c>
      <c r="E10" s="4"/>
      <c r="F10" s="65"/>
      <c r="G10" s="4"/>
      <c r="H10" s="10"/>
      <c r="I10" s="3"/>
      <c r="J10" s="1"/>
      <c r="K10" s="3"/>
    </row>
    <row r="11" spans="1:13">
      <c r="A11" s="17"/>
      <c r="B11" s="3">
        <v>8</v>
      </c>
      <c r="C11" s="4"/>
      <c r="D11" s="3">
        <v>16123008</v>
      </c>
      <c r="E11" s="4"/>
      <c r="F11" s="65"/>
      <c r="G11" s="4"/>
      <c r="H11" s="10"/>
      <c r="I11" s="3"/>
      <c r="J11" s="1"/>
      <c r="K11" s="3"/>
    </row>
    <row r="12" spans="1:13">
      <c r="A12" s="17"/>
      <c r="B12" s="3">
        <v>9</v>
      </c>
      <c r="C12" s="4"/>
      <c r="D12" s="3">
        <v>16123009</v>
      </c>
      <c r="E12" s="4"/>
      <c r="F12" s="65"/>
      <c r="G12" s="4"/>
      <c r="H12" s="10"/>
      <c r="I12" s="3"/>
      <c r="J12" s="1"/>
      <c r="K12" s="3"/>
    </row>
    <row r="13" spans="1:13">
      <c r="A13" s="17"/>
      <c r="B13" s="3">
        <v>10</v>
      </c>
      <c r="C13" s="4"/>
      <c r="D13" s="3">
        <v>16123010</v>
      </c>
      <c r="E13" s="4"/>
      <c r="F13" s="65"/>
      <c r="G13" s="4"/>
      <c r="H13" s="10"/>
      <c r="I13" s="3"/>
      <c r="J13" s="1"/>
      <c r="K13" s="3"/>
    </row>
    <row r="14" spans="1:13">
      <c r="A14" s="17"/>
      <c r="B14" s="3">
        <v>11</v>
      </c>
      <c r="C14" s="4"/>
      <c r="D14" s="3">
        <v>16123011</v>
      </c>
      <c r="E14" s="4"/>
      <c r="F14" s="65"/>
      <c r="G14" s="4"/>
      <c r="H14" s="10"/>
      <c r="I14" s="3"/>
      <c r="J14" s="1"/>
      <c r="K14" s="3"/>
    </row>
    <row r="15" spans="1:13">
      <c r="A15" s="17"/>
      <c r="B15" s="3">
        <v>12</v>
      </c>
      <c r="C15" s="4"/>
      <c r="D15" s="3">
        <v>16123012</v>
      </c>
      <c r="E15" s="4"/>
      <c r="F15" s="65"/>
      <c r="G15" s="4"/>
      <c r="H15" s="10"/>
      <c r="I15" s="3"/>
      <c r="J15" s="1"/>
      <c r="K15" s="3"/>
    </row>
    <row r="16" spans="1:13">
      <c r="A16" s="17"/>
      <c r="B16" s="3">
        <v>13</v>
      </c>
      <c r="C16" s="4"/>
      <c r="D16" s="3">
        <v>16123013</v>
      </c>
      <c r="E16" s="4"/>
      <c r="F16" s="65"/>
      <c r="G16" s="4"/>
      <c r="H16" s="10"/>
      <c r="I16" s="3"/>
      <c r="J16" s="1"/>
      <c r="K16" s="3"/>
    </row>
    <row r="17" spans="1:11">
      <c r="A17" s="17"/>
      <c r="B17" s="3">
        <v>14</v>
      </c>
      <c r="C17" s="4"/>
      <c r="D17" s="3">
        <v>16123014</v>
      </c>
      <c r="E17" s="4"/>
      <c r="F17" s="65"/>
      <c r="G17" s="4"/>
      <c r="H17" s="10"/>
      <c r="I17" s="3"/>
      <c r="J17" s="1"/>
      <c r="K17" s="3"/>
    </row>
    <row r="18" spans="1:11">
      <c r="A18" s="17"/>
      <c r="B18" s="3">
        <v>15</v>
      </c>
      <c r="C18" s="4"/>
      <c r="D18" s="3">
        <v>16123015</v>
      </c>
      <c r="E18" s="4"/>
      <c r="F18" s="65"/>
      <c r="G18" s="4"/>
      <c r="H18" s="10"/>
      <c r="I18" s="3"/>
      <c r="J18" s="1"/>
      <c r="K18" s="3"/>
    </row>
    <row r="19" spans="1:11">
      <c r="A19" s="17"/>
      <c r="B19" s="3">
        <v>16</v>
      </c>
      <c r="C19" s="4"/>
      <c r="D19" s="3">
        <v>16123016</v>
      </c>
      <c r="E19" s="4"/>
      <c r="F19" s="65"/>
      <c r="G19" s="4"/>
      <c r="H19" s="10"/>
      <c r="I19" s="3"/>
      <c r="J19" s="1"/>
      <c r="K19" s="3"/>
    </row>
    <row r="20" spans="1:11">
      <c r="A20" s="17"/>
      <c r="B20" s="3">
        <v>17</v>
      </c>
      <c r="C20" s="4"/>
      <c r="D20" s="3">
        <v>16123017</v>
      </c>
      <c r="E20" s="4"/>
      <c r="F20" s="65"/>
      <c r="G20" s="4"/>
      <c r="H20" s="10"/>
      <c r="I20" s="3"/>
      <c r="J20" s="1"/>
      <c r="K20" s="3"/>
    </row>
    <row r="21" spans="1:11">
      <c r="A21" s="17"/>
      <c r="B21" s="3">
        <v>18</v>
      </c>
      <c r="C21" s="4"/>
      <c r="D21" s="3">
        <v>16123018</v>
      </c>
      <c r="E21" s="4"/>
      <c r="F21" s="65"/>
      <c r="G21" s="4"/>
      <c r="H21" s="10"/>
      <c r="I21" s="3"/>
      <c r="J21" s="1"/>
      <c r="K21" s="3"/>
    </row>
    <row r="22" spans="1:11">
      <c r="A22" s="17"/>
      <c r="B22" s="3">
        <v>19</v>
      </c>
      <c r="C22" s="4"/>
      <c r="D22" s="3">
        <v>16123019</v>
      </c>
      <c r="E22" s="4"/>
      <c r="F22" s="65"/>
      <c r="G22" s="4"/>
      <c r="H22" s="10"/>
      <c r="I22" s="3"/>
      <c r="J22" s="1"/>
      <c r="K22" s="3"/>
    </row>
    <row r="23" spans="1:11">
      <c r="A23" s="17"/>
      <c r="B23" s="3">
        <v>20</v>
      </c>
      <c r="C23" s="4"/>
      <c r="D23" s="3">
        <v>16123020</v>
      </c>
      <c r="E23" s="4"/>
      <c r="F23" s="65"/>
      <c r="G23" s="4"/>
      <c r="H23" s="10"/>
      <c r="I23" s="3"/>
      <c r="J23" s="1"/>
      <c r="K23" s="3"/>
    </row>
    <row r="24" spans="1:11">
      <c r="A24" s="17"/>
      <c r="B24" s="3">
        <v>21</v>
      </c>
      <c r="C24" s="4"/>
      <c r="D24" s="3">
        <v>16123021</v>
      </c>
      <c r="E24" s="4"/>
      <c r="F24" s="65"/>
      <c r="G24" s="4"/>
      <c r="H24" s="10"/>
      <c r="I24" s="3"/>
      <c r="J24" s="1"/>
      <c r="K24" s="3"/>
    </row>
    <row r="25" spans="1:11">
      <c r="A25" s="17"/>
      <c r="B25" s="3">
        <v>22</v>
      </c>
      <c r="C25" s="4"/>
      <c r="D25" s="3">
        <v>16123022</v>
      </c>
      <c r="E25" s="4"/>
      <c r="F25" s="65"/>
      <c r="G25" s="4"/>
      <c r="H25" s="10"/>
      <c r="I25" s="3"/>
      <c r="J25" s="1"/>
      <c r="K25" s="3"/>
    </row>
    <row r="26" spans="1:11">
      <c r="A26" s="17"/>
      <c r="B26" s="3">
        <v>23</v>
      </c>
      <c r="C26" s="4"/>
      <c r="D26" s="3">
        <v>16123023</v>
      </c>
      <c r="E26" s="4"/>
      <c r="F26" s="65"/>
      <c r="G26" s="4"/>
      <c r="H26" s="10"/>
      <c r="I26" s="3"/>
      <c r="J26" s="1"/>
      <c r="K26" s="3"/>
    </row>
    <row r="27" spans="1:11">
      <c r="A27" s="17"/>
      <c r="B27" s="3">
        <v>24</v>
      </c>
      <c r="C27" s="4"/>
      <c r="D27" s="3">
        <v>16123024</v>
      </c>
      <c r="E27" s="4"/>
      <c r="F27" s="65"/>
      <c r="G27" s="4"/>
      <c r="H27" s="10"/>
      <c r="I27" s="3"/>
      <c r="J27" s="1"/>
      <c r="K27" s="3"/>
    </row>
    <row r="28" spans="1:11">
      <c r="A28" s="17"/>
      <c r="B28" s="3"/>
      <c r="C28" s="4"/>
      <c r="D28" s="3"/>
      <c r="E28" s="4"/>
      <c r="F28" s="65"/>
      <c r="G28" s="4"/>
      <c r="H28" s="10"/>
      <c r="I28" s="3"/>
      <c r="J28" s="1"/>
      <c r="K28" s="3"/>
    </row>
    <row r="29" spans="1:11">
      <c r="A29" s="17"/>
      <c r="B29" s="3"/>
      <c r="C29" s="4"/>
      <c r="D29" s="3"/>
      <c r="E29" s="4"/>
      <c r="F29" s="65"/>
      <c r="G29" s="4"/>
      <c r="H29" s="10"/>
      <c r="I29" s="3"/>
      <c r="J29" s="1"/>
      <c r="K29" s="3"/>
    </row>
    <row r="30" spans="1:11">
      <c r="A30" s="17"/>
      <c r="B30" s="3"/>
      <c r="C30" s="4"/>
      <c r="D30" s="3"/>
      <c r="E30" s="4"/>
      <c r="F30" s="65"/>
      <c r="G30" s="4"/>
      <c r="H30" s="10"/>
      <c r="I30" s="3"/>
      <c r="J30" s="1"/>
      <c r="K30" s="3"/>
    </row>
    <row r="31" spans="1:11">
      <c r="A31" s="17"/>
      <c r="B31" s="3"/>
      <c r="C31" s="4"/>
      <c r="D31" s="3"/>
      <c r="E31" s="4"/>
      <c r="F31" s="65"/>
      <c r="G31" s="4"/>
      <c r="H31" s="10"/>
      <c r="I31" s="3"/>
      <c r="J31" s="1"/>
      <c r="K31" s="3"/>
    </row>
    <row r="32" spans="1:11">
      <c r="A32" s="17"/>
      <c r="B32" s="3"/>
      <c r="C32" s="4"/>
      <c r="D32" s="3"/>
      <c r="E32" s="4"/>
      <c r="F32" s="65"/>
      <c r="G32" s="4"/>
      <c r="H32" s="10"/>
      <c r="I32" s="3"/>
      <c r="J32" s="1"/>
      <c r="K32" s="3"/>
    </row>
    <row r="33" spans="1:11">
      <c r="A33" s="17"/>
      <c r="B33" s="3"/>
      <c r="C33" s="4"/>
      <c r="D33" s="3"/>
      <c r="E33" s="4"/>
      <c r="F33" s="65"/>
      <c r="G33" s="4"/>
      <c r="H33" s="10"/>
      <c r="I33" s="3"/>
      <c r="J33" s="1"/>
      <c r="K33" s="3"/>
    </row>
    <row r="34" spans="1:11">
      <c r="A34" s="17"/>
      <c r="B34" s="3"/>
      <c r="C34" s="4"/>
      <c r="D34" s="3"/>
      <c r="E34" s="4"/>
      <c r="F34" s="65"/>
      <c r="G34" s="4"/>
      <c r="H34" s="10"/>
      <c r="I34" s="3"/>
      <c r="J34" s="1"/>
      <c r="K34" s="3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21" priority="1" operator="containsText" text="見積！">
      <formula>NOT(ISERROR(SEARCH("見積！",A1)))</formula>
    </cfRule>
  </conditionalFormatting>
  <conditionalFormatting sqref="A4:A1048576">
    <cfRule type="containsText" dxfId="20" priority="2" operator="containsText" text="着手">
      <formula>NOT(ISERROR(SEARCH("着手",A4)))</formula>
    </cfRule>
    <cfRule type="containsText" dxfId="19" priority="3" operator="containsText" text="見積完了">
      <formula>NOT(ISERROR(SEARCH("見積完了",A4)))</formula>
    </cfRule>
    <cfRule type="containsText" dxfId="18" priority="4" operator="containsText" text="中止">
      <formula>NOT(ISERROR(SEARCH("中止",A4)))</formula>
    </cfRule>
    <cfRule type="containsText" dxfId="17" priority="5" operator="containsText" text="保留">
      <formula>NOT(ISERROR(SEARCH("保留",A4)))</formula>
    </cfRule>
    <cfRule type="containsText" dxfId="16" priority="6" operator="containsText" text="進行中">
      <formula>NOT(ISERROR(SEARCH("進行中",A4)))</formula>
    </cfRule>
    <cfRule type="containsText" dxfId="15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A2 C1:C1048576 I1:I1048576 G2:G1048576 K1:L1048576" xr:uid="{2801BBE7-F95E-4244-98E2-539286163BB5}"/>
    <dataValidation imeMode="off" allowBlank="1" showInputMessage="1" showErrorMessage="1" sqref="G1 B1:B1048576 D1:F1048576 H1:H1048576 J1:J1048576" xr:uid="{21732490-207D-45AA-853D-A7CE6879DA2E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7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BACE-9C39-4A35-AB2F-D588E03E94F2}">
  <sheetPr codeName="Sheet21">
    <tabColor theme="0" tint="-0.499984740745262"/>
    <pageSetUpPr fitToPage="1"/>
  </sheetPr>
  <dimension ref="A1:M67"/>
  <sheetViews>
    <sheetView zoomScaleNormal="100" workbookViewId="0">
      <pane ySplit="3" topLeftCell="A4" activePane="bottomLeft" state="frozen"/>
      <selection activeCell="C12" sqref="C12"/>
      <selection pane="bottomLeft" activeCell="A5" sqref="A5"/>
    </sheetView>
  </sheetViews>
  <sheetFormatPr defaultColWidth="8.59765625" defaultRowHeight="18"/>
  <cols>
    <col min="1" max="1" width="5.09765625" style="8" customWidth="1"/>
    <col min="2" max="2" width="3.5" style="8" bestFit="1" customWidth="1"/>
    <col min="3" max="3" width="20.796875" style="5" customWidth="1"/>
    <col min="4" max="4" width="10.296875" style="8" customWidth="1"/>
    <col min="5" max="5" width="15.296875" style="5" hidden="1" customWidth="1"/>
    <col min="6" max="6" width="10.296875" style="64" customWidth="1"/>
    <col min="7" max="7" width="14.09765625" style="5" customWidth="1"/>
    <col min="8" max="8" width="9.296875" style="9" customWidth="1"/>
    <col min="9" max="9" width="5.796875" style="8" customWidth="1"/>
    <col min="10" max="10" width="7.5" style="8" customWidth="1"/>
    <col min="11" max="11" width="5" style="8" customWidth="1"/>
    <col min="12" max="12" width="32.59765625" style="5" customWidth="1"/>
    <col min="13" max="13" width="8.59765625" customWidth="1"/>
    <col min="14" max="16384" width="8.59765625" style="5"/>
  </cols>
  <sheetData>
    <row r="1" spans="1:13" ht="18" customHeight="1">
      <c r="A1" s="178" t="s">
        <v>0</v>
      </c>
      <c r="B1" s="178"/>
      <c r="C1" s="46" t="s">
        <v>1</v>
      </c>
      <c r="G1" s="54"/>
      <c r="H1" s="179" t="s">
        <v>2</v>
      </c>
      <c r="I1" s="180"/>
      <c r="J1" s="180"/>
      <c r="K1" s="181"/>
      <c r="M1" s="5"/>
    </row>
    <row r="2" spans="1:13" ht="18" customHeight="1">
      <c r="A2" s="185" t="s">
        <v>6</v>
      </c>
      <c r="B2" s="185"/>
      <c r="C2" s="5" t="s">
        <v>7</v>
      </c>
      <c r="H2" s="182"/>
      <c r="I2" s="183"/>
      <c r="J2" s="183"/>
      <c r="K2" s="184"/>
      <c r="M2" s="5"/>
    </row>
    <row r="3" spans="1:13" s="8" customFormat="1" ht="17.55" customHeight="1" thickBot="1">
      <c r="A3" s="25" t="s">
        <v>8</v>
      </c>
      <c r="B3" s="25" t="s">
        <v>9</v>
      </c>
      <c r="C3" s="25" t="s">
        <v>10</v>
      </c>
      <c r="D3" s="25" t="s">
        <v>11</v>
      </c>
      <c r="E3" s="25" t="s">
        <v>12</v>
      </c>
      <c r="F3" s="63" t="s">
        <v>13</v>
      </c>
      <c r="G3" s="25" t="s">
        <v>14</v>
      </c>
      <c r="H3" s="26" t="s">
        <v>15</v>
      </c>
      <c r="I3" s="27" t="s">
        <v>16</v>
      </c>
      <c r="J3" s="27" t="s">
        <v>17</v>
      </c>
      <c r="K3" s="27" t="s">
        <v>18</v>
      </c>
      <c r="L3" s="25" t="s">
        <v>27</v>
      </c>
    </row>
    <row r="4" spans="1:13" ht="18.600000000000001" thickTop="1">
      <c r="A4" s="17" t="s">
        <v>28</v>
      </c>
      <c r="B4" s="3">
        <v>1</v>
      </c>
      <c r="C4" s="4" t="s">
        <v>267</v>
      </c>
      <c r="D4" s="3">
        <v>16318002</v>
      </c>
      <c r="E4" s="4"/>
      <c r="F4" s="65" t="s">
        <v>31</v>
      </c>
      <c r="G4" s="4" t="s">
        <v>268</v>
      </c>
      <c r="H4" s="10">
        <v>320000</v>
      </c>
      <c r="I4" s="3" t="s">
        <v>269</v>
      </c>
      <c r="J4" s="1" t="s">
        <v>270</v>
      </c>
      <c r="K4" s="3" t="s">
        <v>271</v>
      </c>
    </row>
    <row r="5" spans="1:13">
      <c r="A5" s="17" t="s">
        <v>28</v>
      </c>
      <c r="B5" s="3">
        <v>2</v>
      </c>
      <c r="C5" s="4" t="s">
        <v>267</v>
      </c>
      <c r="D5" s="3">
        <v>16122003</v>
      </c>
      <c r="E5" s="4"/>
      <c r="F5" s="65" t="s">
        <v>31</v>
      </c>
      <c r="G5" s="4" t="s">
        <v>268</v>
      </c>
      <c r="H5" s="10">
        <v>488000</v>
      </c>
      <c r="I5" s="3" t="s">
        <v>272</v>
      </c>
      <c r="J5" s="1">
        <v>44965</v>
      </c>
      <c r="K5" s="3" t="s">
        <v>271</v>
      </c>
    </row>
    <row r="6" spans="1:13">
      <c r="A6" s="17"/>
      <c r="B6" s="3"/>
      <c r="C6" s="4"/>
      <c r="D6" s="3">
        <v>16122004</v>
      </c>
      <c r="E6" s="4"/>
      <c r="F6" s="65"/>
      <c r="G6" s="4"/>
      <c r="H6" s="10"/>
      <c r="I6" s="3"/>
      <c r="J6" s="1"/>
      <c r="K6" s="3"/>
    </row>
    <row r="7" spans="1:13">
      <c r="A7" s="17"/>
      <c r="B7" s="3"/>
      <c r="C7" s="4"/>
      <c r="D7" s="3"/>
      <c r="E7" s="4"/>
      <c r="F7" s="65"/>
      <c r="G7" s="4"/>
      <c r="H7" s="10"/>
      <c r="I7" s="3"/>
      <c r="J7" s="1"/>
      <c r="K7" s="3"/>
    </row>
    <row r="8" spans="1:13">
      <c r="A8" s="17"/>
      <c r="B8" s="3"/>
      <c r="C8" s="4"/>
      <c r="D8" s="3"/>
      <c r="E8" s="4"/>
      <c r="F8" s="65"/>
      <c r="G8" s="4"/>
      <c r="H8" s="10"/>
      <c r="I8" s="3"/>
      <c r="J8" s="1"/>
      <c r="K8" s="3"/>
    </row>
    <row r="9" spans="1:13">
      <c r="A9" s="17"/>
      <c r="B9" s="3"/>
      <c r="C9" s="4"/>
      <c r="D9" s="3"/>
      <c r="E9" s="4"/>
      <c r="F9" s="65"/>
      <c r="G9" s="4"/>
      <c r="H9" s="10"/>
      <c r="I9" s="3"/>
      <c r="J9" s="1"/>
      <c r="K9" s="3"/>
    </row>
    <row r="10" spans="1:13">
      <c r="A10" s="17"/>
      <c r="B10" s="3"/>
      <c r="C10" s="4"/>
      <c r="D10" s="3"/>
      <c r="E10" s="4"/>
      <c r="F10" s="65"/>
      <c r="G10" s="4"/>
      <c r="H10" s="10"/>
      <c r="I10" s="3"/>
      <c r="J10" s="1"/>
      <c r="K10" s="3"/>
    </row>
    <row r="11" spans="1:13">
      <c r="A11" s="17"/>
      <c r="B11" s="3"/>
      <c r="C11" s="4"/>
      <c r="D11" s="3"/>
      <c r="E11" s="4"/>
      <c r="F11" s="65"/>
      <c r="G11" s="4"/>
      <c r="H11" s="10"/>
      <c r="I11" s="3"/>
      <c r="J11" s="1"/>
      <c r="K11" s="3"/>
    </row>
    <row r="12" spans="1:13">
      <c r="A12" s="17"/>
      <c r="B12" s="3"/>
      <c r="C12" s="4"/>
      <c r="D12" s="3"/>
      <c r="E12" s="4"/>
      <c r="F12" s="65"/>
      <c r="G12" s="4"/>
      <c r="H12" s="10"/>
      <c r="I12" s="3"/>
      <c r="J12" s="1"/>
      <c r="K12" s="3"/>
    </row>
    <row r="13" spans="1:13">
      <c r="A13" s="17"/>
      <c r="B13" s="3"/>
      <c r="C13" s="4"/>
      <c r="D13" s="3"/>
      <c r="E13" s="4"/>
      <c r="F13" s="65"/>
      <c r="G13" s="4"/>
      <c r="H13" s="10"/>
      <c r="I13" s="3"/>
      <c r="J13" s="1"/>
      <c r="K13" s="3"/>
    </row>
    <row r="14" spans="1:13">
      <c r="A14" s="17"/>
      <c r="B14" s="3"/>
      <c r="C14" s="4"/>
      <c r="D14" s="3"/>
      <c r="E14" s="4"/>
      <c r="F14" s="65"/>
      <c r="G14" s="4"/>
      <c r="H14" s="10"/>
      <c r="I14" s="3"/>
      <c r="J14" s="1"/>
      <c r="K14" s="3"/>
    </row>
    <row r="15" spans="1:13">
      <c r="A15" s="17"/>
      <c r="B15" s="3"/>
      <c r="C15" s="4"/>
      <c r="D15" s="3"/>
      <c r="E15" s="4"/>
      <c r="F15" s="65"/>
      <c r="G15" s="4"/>
      <c r="H15" s="10"/>
      <c r="I15" s="3"/>
      <c r="J15" s="1"/>
      <c r="K15" s="3"/>
    </row>
    <row r="16" spans="1:13">
      <c r="A16" s="17"/>
      <c r="B16" s="3"/>
      <c r="C16" s="4"/>
      <c r="D16" s="3"/>
      <c r="E16" s="4"/>
      <c r="F16" s="65"/>
      <c r="G16" s="4"/>
      <c r="H16" s="10"/>
      <c r="I16" s="3"/>
      <c r="J16" s="1"/>
      <c r="K16" s="3"/>
    </row>
    <row r="17" spans="1:11">
      <c r="A17" s="17"/>
      <c r="B17" s="3"/>
      <c r="C17" s="4"/>
      <c r="D17" s="3"/>
      <c r="E17" s="4"/>
      <c r="F17" s="65"/>
      <c r="G17" s="4"/>
      <c r="H17" s="10"/>
      <c r="I17" s="3"/>
      <c r="J17" s="1"/>
      <c r="K17" s="3"/>
    </row>
    <row r="18" spans="1:11">
      <c r="A18" s="17"/>
      <c r="B18" s="3"/>
      <c r="C18" s="4"/>
      <c r="D18" s="3"/>
      <c r="E18" s="4"/>
      <c r="F18" s="65"/>
      <c r="G18" s="4"/>
      <c r="H18" s="10"/>
      <c r="I18" s="3"/>
      <c r="J18" s="1"/>
      <c r="K18" s="3"/>
    </row>
    <row r="19" spans="1:11">
      <c r="A19" s="17"/>
      <c r="B19" s="3"/>
      <c r="C19" s="4"/>
      <c r="D19" s="3"/>
      <c r="E19" s="4"/>
      <c r="F19" s="65"/>
      <c r="G19" s="4"/>
      <c r="H19" s="10"/>
      <c r="I19" s="3"/>
      <c r="J19" s="1"/>
      <c r="K19" s="3"/>
    </row>
    <row r="20" spans="1:11">
      <c r="A20" s="17"/>
      <c r="B20" s="3"/>
      <c r="C20" s="4"/>
      <c r="D20" s="3"/>
      <c r="E20" s="4"/>
      <c r="F20" s="65"/>
      <c r="G20" s="4"/>
      <c r="H20" s="10"/>
      <c r="I20" s="3"/>
      <c r="J20" s="1"/>
      <c r="K20" s="3"/>
    </row>
    <row r="21" spans="1:11">
      <c r="A21" s="17"/>
      <c r="B21" s="3"/>
      <c r="C21" s="4"/>
      <c r="D21" s="3"/>
      <c r="E21" s="4"/>
      <c r="F21" s="65"/>
      <c r="G21" s="4"/>
      <c r="H21" s="10"/>
      <c r="I21" s="3"/>
      <c r="J21" s="1"/>
      <c r="K21" s="3"/>
    </row>
    <row r="22" spans="1:11">
      <c r="A22" s="17"/>
      <c r="B22" s="3"/>
      <c r="C22" s="4"/>
      <c r="D22" s="3"/>
      <c r="E22" s="4"/>
      <c r="F22" s="65"/>
      <c r="G22" s="4"/>
      <c r="H22" s="10"/>
      <c r="I22" s="3"/>
      <c r="J22" s="1"/>
      <c r="K22" s="3"/>
    </row>
    <row r="23" spans="1:11">
      <c r="A23" s="17"/>
      <c r="B23" s="3"/>
      <c r="C23" s="4"/>
      <c r="D23" s="3"/>
      <c r="E23" s="4"/>
      <c r="F23" s="65"/>
      <c r="G23" s="4"/>
      <c r="H23" s="10"/>
      <c r="I23" s="3"/>
      <c r="J23" s="1"/>
      <c r="K23" s="3"/>
    </row>
    <row r="24" spans="1:11">
      <c r="A24" s="17"/>
      <c r="B24" s="3"/>
      <c r="C24" s="4"/>
      <c r="D24" s="3"/>
      <c r="E24" s="4"/>
      <c r="F24" s="65"/>
      <c r="G24" s="4"/>
      <c r="H24" s="10"/>
      <c r="I24" s="3"/>
      <c r="J24" s="1"/>
      <c r="K24" s="3"/>
    </row>
    <row r="25" spans="1:11">
      <c r="A25" s="17"/>
      <c r="B25" s="3"/>
      <c r="C25" s="4"/>
      <c r="D25" s="3"/>
      <c r="E25" s="4"/>
      <c r="F25" s="65"/>
      <c r="G25" s="4"/>
      <c r="H25" s="10"/>
      <c r="I25" s="3"/>
      <c r="J25" s="1"/>
      <c r="K25" s="3"/>
    </row>
    <row r="26" spans="1:11">
      <c r="A26" s="17"/>
      <c r="B26" s="3"/>
      <c r="C26" s="4"/>
      <c r="D26" s="3"/>
      <c r="E26" s="4"/>
      <c r="F26" s="65"/>
      <c r="G26" s="4"/>
      <c r="H26" s="10"/>
      <c r="I26" s="3"/>
      <c r="J26" s="1"/>
      <c r="K26" s="3"/>
    </row>
    <row r="27" spans="1:11">
      <c r="A27" s="17"/>
      <c r="B27" s="3"/>
      <c r="C27" s="4"/>
      <c r="D27" s="3"/>
      <c r="E27" s="4"/>
      <c r="F27" s="65"/>
      <c r="G27" s="4"/>
      <c r="H27" s="10"/>
      <c r="I27" s="3"/>
      <c r="J27" s="1"/>
      <c r="K27" s="3"/>
    </row>
    <row r="28" spans="1:11">
      <c r="A28" s="17"/>
      <c r="B28" s="3"/>
      <c r="C28" s="4"/>
      <c r="D28" s="3"/>
      <c r="E28" s="4"/>
      <c r="F28" s="65"/>
      <c r="G28" s="4"/>
      <c r="H28" s="10"/>
      <c r="I28" s="3"/>
      <c r="J28" s="1"/>
      <c r="K28" s="3"/>
    </row>
    <row r="29" spans="1:11">
      <c r="A29" s="17"/>
      <c r="B29" s="3"/>
      <c r="C29" s="4"/>
      <c r="D29" s="3"/>
      <c r="E29" s="4"/>
      <c r="F29" s="65"/>
      <c r="G29" s="4"/>
      <c r="H29" s="10"/>
      <c r="I29" s="3"/>
      <c r="J29" s="1"/>
      <c r="K29" s="3"/>
    </row>
    <row r="30" spans="1:11">
      <c r="A30" s="17"/>
      <c r="B30" s="3"/>
      <c r="C30" s="4"/>
      <c r="D30" s="3"/>
      <c r="E30" s="4"/>
      <c r="F30" s="65"/>
      <c r="G30" s="4"/>
      <c r="H30" s="10"/>
      <c r="I30" s="3"/>
      <c r="J30" s="1"/>
      <c r="K30" s="3"/>
    </row>
    <row r="31" spans="1:11">
      <c r="A31" s="17"/>
      <c r="B31" s="3"/>
      <c r="C31" s="4"/>
      <c r="D31" s="3"/>
      <c r="E31" s="4"/>
      <c r="F31" s="65"/>
      <c r="G31" s="4"/>
      <c r="H31" s="10"/>
      <c r="I31" s="3"/>
      <c r="J31" s="1"/>
      <c r="K31" s="3"/>
    </row>
    <row r="32" spans="1:11">
      <c r="A32" s="17"/>
      <c r="B32" s="3"/>
      <c r="C32" s="4"/>
      <c r="D32" s="3"/>
      <c r="E32" s="4"/>
      <c r="F32" s="65"/>
      <c r="G32" s="4"/>
      <c r="H32" s="10"/>
      <c r="I32" s="3"/>
      <c r="J32" s="1"/>
      <c r="K32" s="3"/>
    </row>
    <row r="33" spans="1:11">
      <c r="A33" s="17"/>
      <c r="B33" s="3"/>
      <c r="C33" s="4"/>
      <c r="D33" s="3"/>
      <c r="E33" s="4"/>
      <c r="F33" s="65"/>
      <c r="G33" s="4"/>
      <c r="H33" s="10"/>
      <c r="I33" s="3"/>
      <c r="J33" s="1"/>
      <c r="K33" s="3"/>
    </row>
    <row r="34" spans="1:11">
      <c r="A34" s="17"/>
      <c r="B34" s="3"/>
      <c r="C34" s="4"/>
      <c r="D34" s="3"/>
      <c r="E34" s="4"/>
      <c r="F34" s="65"/>
      <c r="G34" s="4"/>
      <c r="H34" s="10"/>
      <c r="I34" s="3"/>
      <c r="J34" s="1"/>
      <c r="K34" s="3"/>
    </row>
    <row r="35" spans="1:11">
      <c r="A35" s="17"/>
      <c r="B35" s="3"/>
      <c r="C35" s="4"/>
      <c r="D35" s="3"/>
      <c r="E35" s="4"/>
      <c r="F35" s="65"/>
      <c r="G35" s="4"/>
      <c r="H35" s="10"/>
      <c r="I35" s="3"/>
      <c r="J35" s="1"/>
      <c r="K35" s="3"/>
    </row>
    <row r="36" spans="1:11">
      <c r="A36" s="17"/>
      <c r="B36" s="3"/>
      <c r="C36" s="4"/>
      <c r="D36" s="3"/>
      <c r="E36" s="4"/>
      <c r="F36" s="65"/>
      <c r="G36" s="4"/>
      <c r="H36" s="10"/>
      <c r="I36" s="3"/>
      <c r="J36" s="1"/>
      <c r="K36" s="3"/>
    </row>
    <row r="37" spans="1:11">
      <c r="A37" s="17"/>
      <c r="B37" s="3"/>
      <c r="C37" s="4"/>
      <c r="D37" s="3"/>
      <c r="E37" s="4"/>
      <c r="F37" s="65"/>
      <c r="G37" s="4"/>
      <c r="H37" s="10"/>
      <c r="I37" s="3"/>
      <c r="J37" s="1"/>
      <c r="K37" s="3"/>
    </row>
    <row r="38" spans="1:11">
      <c r="A38" s="17"/>
      <c r="B38" s="3"/>
      <c r="C38" s="4"/>
      <c r="D38" s="3"/>
      <c r="E38" s="4"/>
      <c r="F38" s="65"/>
      <c r="G38" s="4"/>
      <c r="H38" s="10"/>
      <c r="I38" s="3"/>
      <c r="J38" s="1"/>
      <c r="K38" s="3"/>
    </row>
    <row r="39" spans="1:11">
      <c r="A39" s="17"/>
      <c r="B39" s="3"/>
      <c r="C39" s="4"/>
      <c r="D39" s="3"/>
      <c r="E39" s="4"/>
      <c r="F39" s="65"/>
      <c r="G39" s="4"/>
      <c r="H39" s="10"/>
      <c r="I39" s="3"/>
      <c r="J39" s="1"/>
      <c r="K39" s="3"/>
    </row>
    <row r="40" spans="1:11">
      <c r="A40" s="17"/>
      <c r="B40" s="3"/>
      <c r="C40" s="4"/>
      <c r="D40" s="3"/>
      <c r="E40" s="4"/>
      <c r="F40" s="65"/>
      <c r="G40" s="4"/>
      <c r="H40" s="10"/>
      <c r="I40" s="3"/>
      <c r="J40" s="1"/>
      <c r="K40" s="3"/>
    </row>
    <row r="41" spans="1:11">
      <c r="A41" s="17"/>
      <c r="B41" s="3"/>
      <c r="C41" s="4"/>
      <c r="D41" s="3"/>
      <c r="E41" s="4"/>
      <c r="F41" s="65"/>
      <c r="G41" s="4"/>
      <c r="H41" s="10"/>
      <c r="I41" s="3"/>
      <c r="J41" s="1"/>
      <c r="K41" s="3"/>
    </row>
    <row r="42" spans="1:11">
      <c r="A42" s="17"/>
      <c r="B42" s="3"/>
      <c r="C42" s="4"/>
      <c r="D42" s="3"/>
      <c r="E42" s="4"/>
      <c r="F42" s="65"/>
      <c r="G42" s="4"/>
      <c r="H42" s="10"/>
      <c r="I42" s="3"/>
      <c r="J42" s="1"/>
      <c r="K42" s="3"/>
    </row>
    <row r="43" spans="1:11">
      <c r="A43" s="17"/>
      <c r="B43" s="3"/>
      <c r="C43" s="4"/>
      <c r="D43" s="3"/>
      <c r="E43" s="4"/>
      <c r="F43" s="65"/>
      <c r="G43" s="4"/>
      <c r="H43" s="10"/>
      <c r="I43" s="3"/>
      <c r="J43" s="1"/>
      <c r="K43" s="3"/>
    </row>
    <row r="44" spans="1:11">
      <c r="A44" s="17"/>
      <c r="B44" s="3"/>
      <c r="C44" s="4"/>
      <c r="D44" s="3"/>
      <c r="E44" s="4"/>
      <c r="F44" s="65"/>
      <c r="G44" s="4"/>
      <c r="H44" s="10"/>
      <c r="I44" s="3"/>
      <c r="J44" s="1"/>
      <c r="K44" s="3"/>
    </row>
    <row r="45" spans="1:11">
      <c r="A45" s="17"/>
      <c r="B45" s="3"/>
      <c r="C45" s="4"/>
      <c r="D45" s="3"/>
      <c r="E45" s="4"/>
      <c r="F45" s="65"/>
      <c r="G45" s="4"/>
      <c r="H45" s="10"/>
      <c r="I45" s="3"/>
      <c r="J45" s="1"/>
      <c r="K45" s="3"/>
    </row>
    <row r="46" spans="1:11">
      <c r="A46" s="17"/>
      <c r="B46" s="3"/>
      <c r="C46" s="4"/>
      <c r="D46" s="3"/>
      <c r="E46" s="4"/>
      <c r="F46" s="65"/>
      <c r="G46" s="4"/>
      <c r="H46" s="10"/>
      <c r="I46" s="3"/>
      <c r="J46" s="1"/>
      <c r="K46" s="3"/>
    </row>
    <row r="47" spans="1:11">
      <c r="A47" s="17"/>
      <c r="B47" s="3"/>
      <c r="C47" s="4"/>
      <c r="D47" s="3"/>
      <c r="E47" s="4"/>
      <c r="F47" s="65"/>
      <c r="G47" s="4"/>
      <c r="H47" s="10"/>
      <c r="I47" s="3"/>
      <c r="J47" s="1"/>
      <c r="K47" s="3"/>
    </row>
    <row r="48" spans="1:11">
      <c r="A48" s="17"/>
      <c r="B48" s="3"/>
      <c r="C48" s="4"/>
      <c r="D48" s="3"/>
      <c r="E48" s="4"/>
      <c r="F48" s="65"/>
      <c r="G48" s="4"/>
      <c r="H48" s="10"/>
      <c r="I48" s="3"/>
      <c r="J48" s="1"/>
      <c r="K48" s="3"/>
    </row>
    <row r="49" spans="1:11">
      <c r="A49" s="17"/>
      <c r="B49" s="3"/>
      <c r="C49" s="4"/>
      <c r="D49" s="3"/>
      <c r="E49" s="4"/>
      <c r="F49" s="65"/>
      <c r="G49" s="4"/>
      <c r="H49" s="10"/>
      <c r="I49" s="3"/>
      <c r="J49" s="1"/>
      <c r="K49" s="3"/>
    </row>
    <row r="50" spans="1:11">
      <c r="A50" s="17"/>
      <c r="B50" s="3"/>
      <c r="C50" s="4"/>
      <c r="D50" s="3"/>
      <c r="E50" s="4"/>
      <c r="F50" s="65"/>
      <c r="G50" s="4"/>
      <c r="H50" s="10"/>
      <c r="I50" s="3"/>
      <c r="J50" s="1"/>
      <c r="K50" s="3"/>
    </row>
    <row r="51" spans="1:11">
      <c r="A51" s="17"/>
      <c r="B51" s="3"/>
      <c r="C51" s="4"/>
      <c r="D51" s="3"/>
      <c r="E51" s="4"/>
      <c r="F51" s="65"/>
      <c r="G51" s="4"/>
      <c r="H51" s="10"/>
      <c r="I51" s="3"/>
      <c r="J51" s="1"/>
      <c r="K51" s="3"/>
    </row>
    <row r="52" spans="1:11">
      <c r="A52" s="17"/>
      <c r="B52" s="3"/>
      <c r="C52" s="4"/>
      <c r="D52" s="3"/>
      <c r="E52" s="4"/>
      <c r="F52" s="65"/>
      <c r="G52" s="4"/>
      <c r="H52" s="10"/>
      <c r="I52" s="3"/>
      <c r="J52" s="1"/>
      <c r="K52" s="3"/>
    </row>
    <row r="53" spans="1:11">
      <c r="A53" s="17"/>
      <c r="B53" s="3"/>
      <c r="C53" s="4"/>
      <c r="D53" s="3"/>
      <c r="E53" s="4"/>
      <c r="F53" s="65"/>
      <c r="G53" s="4"/>
      <c r="H53" s="10"/>
      <c r="I53" s="3"/>
      <c r="J53" s="1"/>
      <c r="K53" s="3"/>
    </row>
    <row r="54" spans="1:11">
      <c r="A54" s="17"/>
      <c r="B54" s="3"/>
      <c r="C54" s="4"/>
      <c r="D54" s="3"/>
      <c r="E54" s="4"/>
      <c r="F54" s="65"/>
      <c r="G54" s="4"/>
      <c r="H54" s="10"/>
      <c r="I54" s="3"/>
      <c r="J54" s="1"/>
      <c r="K54" s="3"/>
    </row>
    <row r="55" spans="1:11">
      <c r="A55" s="17"/>
      <c r="B55" s="3"/>
      <c r="C55" s="4"/>
      <c r="D55" s="3"/>
      <c r="E55" s="4"/>
      <c r="F55" s="65"/>
      <c r="G55" s="4"/>
      <c r="H55" s="10"/>
      <c r="I55" s="3"/>
      <c r="J55" s="1"/>
      <c r="K55" s="3"/>
    </row>
    <row r="56" spans="1:11">
      <c r="A56" s="17"/>
      <c r="B56" s="3"/>
      <c r="C56" s="4"/>
      <c r="D56" s="3"/>
      <c r="E56" s="4"/>
      <c r="F56" s="65"/>
      <c r="G56" s="4"/>
      <c r="H56" s="10"/>
      <c r="I56" s="3"/>
      <c r="J56" s="1"/>
      <c r="K56" s="3"/>
    </row>
    <row r="57" spans="1:11">
      <c r="A57" s="17"/>
      <c r="B57" s="3"/>
      <c r="C57" s="4"/>
      <c r="D57" s="3"/>
      <c r="E57" s="4"/>
      <c r="F57" s="65"/>
      <c r="G57" s="4"/>
      <c r="H57" s="10"/>
      <c r="I57" s="3"/>
      <c r="J57" s="1"/>
      <c r="K57" s="3"/>
    </row>
    <row r="58" spans="1:11">
      <c r="A58" s="17"/>
      <c r="B58" s="3"/>
      <c r="C58" s="4"/>
      <c r="D58" s="3"/>
      <c r="E58" s="4"/>
      <c r="F58" s="65"/>
      <c r="G58" s="4"/>
      <c r="H58" s="10"/>
      <c r="I58" s="3"/>
      <c r="J58" s="1"/>
      <c r="K58" s="3"/>
    </row>
    <row r="59" spans="1:11">
      <c r="A59" s="17"/>
      <c r="B59" s="3"/>
      <c r="C59" s="4"/>
      <c r="D59" s="3"/>
      <c r="E59" s="4"/>
      <c r="F59" s="65"/>
      <c r="G59" s="4"/>
      <c r="H59" s="10"/>
      <c r="I59" s="3"/>
      <c r="J59" s="1"/>
      <c r="K59" s="3"/>
    </row>
    <row r="60" spans="1:11">
      <c r="A60" s="17"/>
      <c r="B60" s="3"/>
      <c r="C60" s="4"/>
      <c r="D60" s="3"/>
      <c r="E60" s="4"/>
      <c r="F60" s="65"/>
      <c r="G60" s="4"/>
      <c r="H60" s="10"/>
      <c r="I60" s="3"/>
      <c r="J60" s="1"/>
      <c r="K60" s="3"/>
    </row>
    <row r="61" spans="1:11">
      <c r="A61" s="17"/>
      <c r="B61" s="3"/>
      <c r="C61" s="4"/>
      <c r="D61" s="3"/>
      <c r="E61" s="4"/>
      <c r="F61" s="65"/>
      <c r="G61" s="4"/>
      <c r="H61" s="10"/>
      <c r="I61" s="3"/>
      <c r="J61" s="1"/>
      <c r="K61" s="3"/>
    </row>
    <row r="62" spans="1:11">
      <c r="A62" s="17"/>
      <c r="B62" s="3"/>
      <c r="C62" s="4"/>
      <c r="D62" s="3"/>
      <c r="E62" s="4"/>
      <c r="F62" s="65"/>
      <c r="G62" s="4"/>
      <c r="H62" s="10"/>
      <c r="I62" s="3"/>
      <c r="J62" s="1"/>
      <c r="K62" s="3"/>
    </row>
    <row r="63" spans="1:11">
      <c r="A63" s="17"/>
      <c r="B63" s="3"/>
      <c r="C63" s="4"/>
      <c r="D63" s="3"/>
      <c r="E63" s="4"/>
      <c r="F63" s="65"/>
      <c r="G63" s="4"/>
      <c r="H63" s="10"/>
      <c r="I63" s="3"/>
      <c r="J63" s="1"/>
      <c r="K63" s="3"/>
    </row>
    <row r="64" spans="1:11">
      <c r="A64" s="17"/>
      <c r="B64" s="3"/>
      <c r="C64" s="4"/>
      <c r="D64" s="3"/>
      <c r="E64" s="4"/>
      <c r="F64" s="65"/>
      <c r="G64" s="4"/>
      <c r="H64" s="10"/>
      <c r="I64" s="3"/>
      <c r="J64" s="1"/>
      <c r="K64" s="3"/>
    </row>
    <row r="65" spans="1:11">
      <c r="A65" s="17"/>
      <c r="B65" s="3"/>
      <c r="C65" s="4"/>
      <c r="D65" s="3"/>
      <c r="E65" s="4"/>
      <c r="F65" s="65"/>
      <c r="G65" s="4"/>
      <c r="H65" s="10"/>
      <c r="I65" s="3"/>
      <c r="J65" s="1"/>
      <c r="K65" s="3"/>
    </row>
    <row r="66" spans="1:11">
      <c r="A66" s="17"/>
      <c r="B66" s="3"/>
      <c r="C66" s="4"/>
      <c r="D66" s="3"/>
      <c r="E66" s="4"/>
      <c r="F66" s="65"/>
      <c r="G66" s="4"/>
      <c r="H66" s="10"/>
      <c r="I66" s="3"/>
      <c r="J66" s="1"/>
      <c r="K66" s="3"/>
    </row>
    <row r="67" spans="1:11">
      <c r="A67" s="17"/>
      <c r="B67" s="3"/>
      <c r="C67" s="4"/>
      <c r="D67" s="3"/>
      <c r="E67" s="4"/>
      <c r="F67" s="65"/>
      <c r="G67" s="4"/>
      <c r="H67" s="10"/>
      <c r="I67" s="3"/>
      <c r="J67" s="1"/>
      <c r="K67" s="3"/>
    </row>
  </sheetData>
  <autoFilter ref="A3:K4" xr:uid="{00000000-0001-0000-0000-000000000000}"/>
  <mergeCells count="3">
    <mergeCell ref="A1:B1"/>
    <mergeCell ref="H1:K2"/>
    <mergeCell ref="A2:B2"/>
  </mergeCells>
  <phoneticPr fontId="7"/>
  <conditionalFormatting sqref="A1:A1048576">
    <cfRule type="containsText" dxfId="14" priority="1" operator="containsText" text="見積！">
      <formula>NOT(ISERROR(SEARCH("見積！",A1)))</formula>
    </cfRule>
  </conditionalFormatting>
  <conditionalFormatting sqref="A4:A1048576">
    <cfRule type="containsText" dxfId="13" priority="2" operator="containsText" text="着手">
      <formula>NOT(ISERROR(SEARCH("着手",A4)))</formula>
    </cfRule>
    <cfRule type="containsText" dxfId="12" priority="3" operator="containsText" text="見積完了">
      <formula>NOT(ISERROR(SEARCH("見積完了",A4)))</formula>
    </cfRule>
    <cfRule type="containsText" dxfId="11" priority="4" operator="containsText" text="中止">
      <formula>NOT(ISERROR(SEARCH("中止",A4)))</formula>
    </cfRule>
    <cfRule type="containsText" dxfId="10" priority="5" operator="containsText" text="保留">
      <formula>NOT(ISERROR(SEARCH("保留",A4)))</formula>
    </cfRule>
    <cfRule type="containsText" dxfId="9" priority="6" operator="containsText" text="進行中">
      <formula>NOT(ISERROR(SEARCH("進行中",A4)))</formula>
    </cfRule>
    <cfRule type="containsText" dxfId="8" priority="7" operator="containsText" text="完了">
      <formula>NOT(ISERROR(SEARCH("完了",A4)))</formula>
    </cfRule>
  </conditionalFormatting>
  <dataValidations count="2">
    <dataValidation imeMode="off" allowBlank="1" showInputMessage="1" showErrorMessage="1" sqref="G1 H1:H1048576 J1:J1048576 B1:B1048576 D1:F1048576" xr:uid="{2CDDF570-0574-48BC-B94B-C9864975AF8C}"/>
    <dataValidation imeMode="on" allowBlank="1" showInputMessage="1" showErrorMessage="1" sqref="A2 K1:L1048576 C1:C1048576 G2:G1048576 I1:I1048576" xr:uid="{706D2148-C69A-49B0-9433-D8AC4B61AF3F}"/>
  </dataValidations>
  <printOptions horizontalCentered="1"/>
  <pageMargins left="0.19685039370078741" right="0.19685039370078741" top="0.59055118110236227" bottom="0.19685039370078741" header="0.31496062992125984" footer="0.31496062992125984"/>
  <pageSetup paperSize="9" scale="6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B337E5-D5E1-4A7D-A9D6-FF0232078CB7}">
          <x14:formula1>
            <xm:f>タスク!$B$3:$B$14</xm:f>
          </x14:formula1>
          <xm:sqref>A4:A1048576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DAF4-9567-4DBE-B9B6-3CE82B60D1A3}">
  <sheetPr codeName="Sheet22">
    <tabColor rgb="FF0070C0"/>
  </sheetPr>
  <dimension ref="A1:I19"/>
  <sheetViews>
    <sheetView workbookViewId="0">
      <pane ySplit="3" topLeftCell="A4" activePane="bottomLeft" state="frozen"/>
      <selection activeCell="H1" sqref="H1:K2"/>
      <selection pane="bottomLeft" activeCell="A2" sqref="A2"/>
    </sheetView>
  </sheetViews>
  <sheetFormatPr defaultColWidth="8.59765625" defaultRowHeight="18" customHeight="1"/>
  <cols>
    <col min="1" max="1" width="5.09765625" style="7" customWidth="1"/>
    <col min="2" max="2" width="3.09765625" style="24" bestFit="1" customWidth="1"/>
    <col min="3" max="3" width="12" style="24" bestFit="1" customWidth="1"/>
    <col min="4" max="4" width="10.5" style="7" bestFit="1" customWidth="1"/>
    <col min="5" max="5" width="8.796875" style="7" customWidth="1"/>
    <col min="6" max="6" width="32.09765625" style="7" bestFit="1" customWidth="1"/>
    <col min="7" max="7" width="8.59765625" style="44" bestFit="1" customWidth="1"/>
    <col min="8" max="8" width="9.09765625" style="24" bestFit="1" customWidth="1"/>
    <col min="9" max="16384" width="8.59765625" style="7"/>
  </cols>
  <sheetData>
    <row r="1" spans="1:9" ht="18" customHeight="1">
      <c r="A1" s="178" t="s">
        <v>501</v>
      </c>
      <c r="B1" s="178"/>
      <c r="C1" s="46" t="s">
        <v>273</v>
      </c>
      <c r="D1" s="5"/>
      <c r="E1" s="5"/>
      <c r="H1" s="47">
        <v>44935</v>
      </c>
    </row>
    <row r="3" spans="1:9" s="24" customFormat="1" ht="18" customHeight="1" thickBot="1">
      <c r="A3" s="25" t="s">
        <v>8</v>
      </c>
      <c r="B3" s="34" t="s">
        <v>9</v>
      </c>
      <c r="C3" s="35" t="s">
        <v>274</v>
      </c>
      <c r="D3" s="34" t="s">
        <v>275</v>
      </c>
      <c r="E3" s="34" t="s">
        <v>276</v>
      </c>
      <c r="F3" s="35" t="s">
        <v>277</v>
      </c>
      <c r="G3" s="38" t="s">
        <v>278</v>
      </c>
      <c r="H3" s="35" t="s">
        <v>279</v>
      </c>
    </row>
    <row r="4" spans="1:9" ht="18" customHeight="1" thickTop="1">
      <c r="A4" s="17"/>
      <c r="B4" s="48">
        <v>1</v>
      </c>
      <c r="C4" s="40"/>
      <c r="D4" s="39"/>
      <c r="E4" s="39"/>
      <c r="F4" s="39"/>
      <c r="G4" s="41"/>
      <c r="H4" s="48"/>
    </row>
    <row r="5" spans="1:9" ht="18" customHeight="1">
      <c r="A5" s="42"/>
      <c r="B5" s="21">
        <v>2</v>
      </c>
      <c r="C5" s="40"/>
      <c r="D5" s="42"/>
      <c r="E5" s="42"/>
      <c r="F5" s="42"/>
      <c r="G5" s="43"/>
      <c r="H5" s="21"/>
    </row>
    <row r="6" spans="1:9" ht="18" customHeight="1">
      <c r="A6" s="42"/>
      <c r="B6" s="21">
        <v>3</v>
      </c>
      <c r="C6" s="40"/>
      <c r="D6" s="42"/>
      <c r="E6" s="42"/>
      <c r="F6" s="42"/>
      <c r="G6" s="43"/>
      <c r="H6" s="21"/>
    </row>
    <row r="7" spans="1:9" ht="18" customHeight="1">
      <c r="A7" s="42"/>
      <c r="B7" s="21">
        <v>4</v>
      </c>
      <c r="C7" s="40"/>
      <c r="D7" s="42"/>
      <c r="E7" s="42"/>
      <c r="F7" s="42"/>
      <c r="G7" s="43"/>
      <c r="H7" s="21"/>
      <c r="I7" s="45"/>
    </row>
    <row r="8" spans="1:9" ht="18" customHeight="1">
      <c r="A8" s="42"/>
      <c r="B8" s="21">
        <v>5</v>
      </c>
      <c r="C8" s="40"/>
      <c r="D8" s="42"/>
      <c r="E8" s="42"/>
      <c r="F8" s="42"/>
      <c r="G8" s="43"/>
      <c r="H8" s="21"/>
    </row>
    <row r="9" spans="1:9" ht="18" customHeight="1">
      <c r="A9" s="42"/>
      <c r="B9" s="21">
        <v>6</v>
      </c>
      <c r="C9" s="40"/>
      <c r="D9" s="42"/>
      <c r="E9" s="42"/>
      <c r="F9" s="42"/>
      <c r="G9" s="43"/>
      <c r="H9" s="21"/>
    </row>
    <row r="10" spans="1:9" ht="18" customHeight="1">
      <c r="A10" s="42"/>
      <c r="B10" s="21">
        <v>7</v>
      </c>
      <c r="C10" s="40"/>
      <c r="D10" s="42"/>
      <c r="E10" s="42"/>
      <c r="F10" s="42"/>
      <c r="G10" s="43"/>
      <c r="H10" s="21"/>
    </row>
    <row r="11" spans="1:9" ht="18" customHeight="1">
      <c r="A11" s="42"/>
      <c r="B11" s="21">
        <v>8</v>
      </c>
      <c r="C11" s="40"/>
      <c r="D11" s="42"/>
      <c r="E11" s="42"/>
      <c r="F11" s="42"/>
      <c r="G11" s="43"/>
      <c r="H11" s="21"/>
    </row>
    <row r="12" spans="1:9" ht="18" customHeight="1">
      <c r="A12" s="42"/>
      <c r="B12" s="21">
        <v>9</v>
      </c>
      <c r="C12" s="40"/>
      <c r="D12" s="42"/>
      <c r="E12" s="42"/>
      <c r="F12" s="42"/>
      <c r="G12" s="43"/>
      <c r="H12" s="21"/>
    </row>
    <row r="13" spans="1:9" ht="18" customHeight="1">
      <c r="A13" s="42"/>
      <c r="B13" s="21">
        <v>10</v>
      </c>
      <c r="C13" s="40"/>
      <c r="D13" s="42"/>
      <c r="E13" s="42"/>
      <c r="F13" s="42"/>
      <c r="G13" s="43"/>
      <c r="H13" s="21"/>
    </row>
    <row r="14" spans="1:9" ht="18" customHeight="1">
      <c r="A14" s="42"/>
      <c r="B14" s="21"/>
      <c r="C14" s="40"/>
      <c r="D14" s="42"/>
      <c r="E14" s="42"/>
      <c r="F14" s="42"/>
      <c r="G14" s="43"/>
      <c r="H14" s="21"/>
    </row>
    <row r="15" spans="1:9" ht="18" customHeight="1">
      <c r="A15" s="42"/>
      <c r="B15" s="21"/>
      <c r="C15" s="40"/>
      <c r="D15" s="42"/>
      <c r="E15" s="42"/>
      <c r="F15" s="42"/>
      <c r="G15" s="43"/>
      <c r="H15" s="21"/>
    </row>
    <row r="16" spans="1:9" ht="18" customHeight="1">
      <c r="A16" s="42"/>
      <c r="B16" s="21"/>
      <c r="C16" s="40"/>
      <c r="D16" s="42"/>
      <c r="E16" s="42"/>
      <c r="F16" s="42"/>
      <c r="G16" s="43"/>
      <c r="H16" s="21"/>
    </row>
    <row r="17" spans="1:8" ht="18" customHeight="1">
      <c r="A17" s="42"/>
      <c r="B17" s="21"/>
      <c r="C17" s="40"/>
      <c r="D17" s="42"/>
      <c r="E17" s="42"/>
      <c r="F17" s="42"/>
      <c r="G17" s="43"/>
      <c r="H17" s="21"/>
    </row>
    <row r="18" spans="1:8" ht="18" customHeight="1">
      <c r="A18" s="42"/>
      <c r="B18" s="21"/>
      <c r="C18" s="40"/>
      <c r="D18" s="42"/>
      <c r="E18" s="42"/>
      <c r="F18" s="42"/>
      <c r="G18" s="43"/>
      <c r="H18" s="21"/>
    </row>
    <row r="19" spans="1:8" ht="18" customHeight="1">
      <c r="A19" s="42"/>
      <c r="B19" s="21"/>
      <c r="C19" s="21"/>
      <c r="D19" s="42"/>
      <c r="E19" s="42"/>
      <c r="F19" s="42"/>
      <c r="G19" s="43"/>
      <c r="H19" s="21"/>
    </row>
  </sheetData>
  <mergeCells count="1">
    <mergeCell ref="A1:B1"/>
  </mergeCells>
  <phoneticPr fontId="7"/>
  <conditionalFormatting sqref="A1">
    <cfRule type="containsText" dxfId="7" priority="15" operator="containsText" text="見積！">
      <formula>NOT(ISERROR(SEARCH("見積！",A1)))</formula>
    </cfRule>
  </conditionalFormatting>
  <conditionalFormatting sqref="A3:A4">
    <cfRule type="containsText" dxfId="6" priority="1" operator="containsText" text="見積！">
      <formula>NOT(ISERROR(SEARCH("見積！",A3)))</formula>
    </cfRule>
  </conditionalFormatting>
  <conditionalFormatting sqref="A4">
    <cfRule type="containsText" dxfId="5" priority="2" operator="containsText" text="着手">
      <formula>NOT(ISERROR(SEARCH("着手",A4)))</formula>
    </cfRule>
    <cfRule type="containsText" dxfId="4" priority="3" operator="containsText" text="見積完了">
      <formula>NOT(ISERROR(SEARCH("見積完了",A4)))</formula>
    </cfRule>
    <cfRule type="containsText" dxfId="3" priority="4" operator="containsText" text="中止">
      <formula>NOT(ISERROR(SEARCH("中止",A4)))</formula>
    </cfRule>
    <cfRule type="containsText" dxfId="2" priority="5" operator="containsText" text="保留">
      <formula>NOT(ISERROR(SEARCH("保留",A4)))</formula>
    </cfRule>
    <cfRule type="containsText" dxfId="1" priority="6" operator="containsText" text="進行中">
      <formula>NOT(ISERROR(SEARCH("進行中",A4)))</formula>
    </cfRule>
    <cfRule type="containsText" dxfId="0" priority="7" operator="containsText" text="完了">
      <formula>NOT(ISERROR(SEARCH("完了",A4)))</formula>
    </cfRule>
  </conditionalFormatting>
  <dataValidations count="2">
    <dataValidation imeMode="on" allowBlank="1" showInputMessage="1" showErrorMessage="1" sqref="D3:E3 D1:E1" xr:uid="{0810C1A3-136B-4EC3-A969-9963717A8E9E}"/>
    <dataValidation imeMode="off" allowBlank="1" showInputMessage="1" showErrorMessage="1" sqref="H1 I7" xr:uid="{E31D425D-69EE-431D-90ED-66EE20227D29}"/>
  </dataValidations>
  <pageMargins left="0.19685039370078741" right="0.19685039370078741" top="0.59055118110236227" bottom="0.19685039370078741" header="0.31496062992125984" footer="0.31496062992125984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38EB14-3DDB-49E0-889E-B04E1E67226A}">
          <x14:formula1>
            <xm:f>タスク!$B$3:$B$14</xm:f>
          </x14:formula1>
          <xm:sqref>A4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AFEA-66B8-4FEB-A222-9E03C79DD3CD}">
  <sheetPr codeName="Sheet23">
    <tabColor rgb="FF00B0F0"/>
    <pageSetUpPr fitToPage="1"/>
  </sheetPr>
  <dimension ref="B1:H51"/>
  <sheetViews>
    <sheetView zoomScale="85" zoomScaleNormal="85" workbookViewId="0">
      <pane ySplit="4" topLeftCell="A35" activePane="bottomLeft" state="frozen"/>
      <selection activeCell="H1" sqref="H1:K2"/>
      <selection pane="bottomLeft" activeCell="E32" sqref="E32"/>
    </sheetView>
  </sheetViews>
  <sheetFormatPr defaultColWidth="8.59765625" defaultRowHeight="18" customHeight="1"/>
  <cols>
    <col min="1" max="1" width="5" style="67" customWidth="1"/>
    <col min="2" max="2" width="26.796875" style="67" bestFit="1" customWidth="1"/>
    <col min="3" max="3" width="11" style="68" bestFit="1" customWidth="1"/>
    <col min="4" max="4" width="9.796875" style="68" customWidth="1"/>
    <col min="5" max="5" width="31.5" style="67" customWidth="1"/>
    <col min="6" max="6" width="10.09765625" style="68" bestFit="1" customWidth="1"/>
    <col min="7" max="7" width="10.59765625" style="72" bestFit="1" customWidth="1"/>
    <col min="8" max="8" width="36.09765625" style="67" customWidth="1"/>
    <col min="9" max="16384" width="8.59765625" style="67"/>
  </cols>
  <sheetData>
    <row r="1" spans="2:8" ht="18" customHeight="1">
      <c r="B1" s="66" t="s">
        <v>280</v>
      </c>
      <c r="C1" s="67"/>
      <c r="E1" s="69"/>
      <c r="F1" s="70"/>
      <c r="G1" s="71"/>
    </row>
    <row r="2" spans="2:8" ht="18" customHeight="1">
      <c r="H2" s="73">
        <v>45401</v>
      </c>
    </row>
    <row r="3" spans="2:8" ht="18" customHeight="1">
      <c r="B3" s="74"/>
      <c r="C3" s="194" t="s">
        <v>281</v>
      </c>
      <c r="D3" s="194"/>
      <c r="E3" s="194"/>
      <c r="F3" s="194"/>
      <c r="G3" s="194"/>
      <c r="H3" s="194" t="s">
        <v>27</v>
      </c>
    </row>
    <row r="4" spans="2:8" ht="18" customHeight="1" thickBot="1">
      <c r="B4" s="76" t="s">
        <v>282</v>
      </c>
      <c r="C4" s="76" t="s">
        <v>283</v>
      </c>
      <c r="D4" s="76" t="s">
        <v>284</v>
      </c>
      <c r="E4" s="76" t="s">
        <v>285</v>
      </c>
      <c r="F4" s="76" t="s">
        <v>286</v>
      </c>
      <c r="G4" s="77" t="s">
        <v>287</v>
      </c>
      <c r="H4" s="195"/>
    </row>
    <row r="5" spans="2:8" ht="18" customHeight="1">
      <c r="B5" s="78" t="s">
        <v>288</v>
      </c>
      <c r="C5" s="79" t="s">
        <v>289</v>
      </c>
      <c r="D5" s="78" t="s">
        <v>31</v>
      </c>
      <c r="E5" s="78" t="s">
        <v>31</v>
      </c>
      <c r="F5" s="80">
        <v>101</v>
      </c>
      <c r="G5" s="79"/>
      <c r="H5" s="78"/>
    </row>
    <row r="6" spans="2:8" ht="18" customHeight="1">
      <c r="B6" s="196" t="s">
        <v>290</v>
      </c>
      <c r="C6" s="197" t="s">
        <v>291</v>
      </c>
      <c r="D6" s="82" t="s">
        <v>292</v>
      </c>
      <c r="E6" s="83" t="s">
        <v>293</v>
      </c>
      <c r="F6" s="84" t="s">
        <v>294</v>
      </c>
      <c r="G6" s="85" t="s">
        <v>295</v>
      </c>
      <c r="H6" s="86" t="s">
        <v>296</v>
      </c>
    </row>
    <row r="7" spans="2:8" ht="18" customHeight="1">
      <c r="B7" s="196"/>
      <c r="C7" s="197"/>
      <c r="D7" s="87" t="s">
        <v>297</v>
      </c>
      <c r="E7" s="87" t="s">
        <v>298</v>
      </c>
      <c r="F7" s="88" t="s">
        <v>299</v>
      </c>
      <c r="G7" s="89" t="s">
        <v>300</v>
      </c>
      <c r="H7" s="90" t="s">
        <v>301</v>
      </c>
    </row>
    <row r="8" spans="2:8" ht="18" customHeight="1">
      <c r="B8" s="196"/>
      <c r="C8" s="197"/>
      <c r="D8" s="91" t="s">
        <v>302</v>
      </c>
      <c r="E8" s="92" t="s">
        <v>303</v>
      </c>
      <c r="F8" s="93" t="s">
        <v>304</v>
      </c>
      <c r="G8" s="94"/>
      <c r="H8" s="78"/>
    </row>
    <row r="9" spans="2:8" ht="18" customHeight="1">
      <c r="B9" s="196" t="s">
        <v>305</v>
      </c>
      <c r="C9" s="197" t="s">
        <v>306</v>
      </c>
      <c r="D9" s="95" t="s">
        <v>307</v>
      </c>
      <c r="E9" s="83" t="s">
        <v>308</v>
      </c>
      <c r="F9" s="96" t="s">
        <v>294</v>
      </c>
      <c r="G9" s="97" t="s">
        <v>309</v>
      </c>
      <c r="H9" s="86" t="s">
        <v>310</v>
      </c>
    </row>
    <row r="10" spans="2:8" ht="18" customHeight="1">
      <c r="B10" s="196"/>
      <c r="C10" s="197"/>
      <c r="D10" s="98" t="s">
        <v>311</v>
      </c>
      <c r="E10" s="99" t="s">
        <v>312</v>
      </c>
      <c r="F10" s="100" t="s">
        <v>299</v>
      </c>
      <c r="G10" s="101" t="s">
        <v>313</v>
      </c>
      <c r="H10" s="102" t="s">
        <v>314</v>
      </c>
    </row>
    <row r="11" spans="2:8" ht="18" customHeight="1">
      <c r="B11" s="74" t="s">
        <v>315</v>
      </c>
      <c r="C11" s="81" t="s">
        <v>316</v>
      </c>
      <c r="D11" s="74" t="s">
        <v>31</v>
      </c>
      <c r="E11" s="74" t="s">
        <v>31</v>
      </c>
      <c r="F11" s="103" t="s">
        <v>294</v>
      </c>
      <c r="G11" s="104"/>
      <c r="H11" s="74"/>
    </row>
    <row r="12" spans="2:8" ht="18" customHeight="1">
      <c r="B12" s="194" t="s">
        <v>317</v>
      </c>
      <c r="C12" s="197" t="s">
        <v>318</v>
      </c>
      <c r="D12" s="172"/>
      <c r="E12" s="105" t="s">
        <v>319</v>
      </c>
      <c r="F12" s="96" t="s">
        <v>320</v>
      </c>
      <c r="G12" s="97"/>
      <c r="H12" s="82"/>
    </row>
    <row r="13" spans="2:8" ht="18" customHeight="1">
      <c r="B13" s="194"/>
      <c r="C13" s="197"/>
      <c r="D13" s="173"/>
      <c r="E13" s="106" t="s">
        <v>321</v>
      </c>
      <c r="F13" s="107" t="s">
        <v>294</v>
      </c>
      <c r="G13" s="108"/>
      <c r="H13" s="109"/>
    </row>
    <row r="14" spans="2:8" ht="18" customHeight="1">
      <c r="B14" s="194"/>
      <c r="C14" s="197"/>
      <c r="D14" s="174" t="s">
        <v>322</v>
      </c>
      <c r="E14" s="106" t="s">
        <v>323</v>
      </c>
      <c r="F14" s="107" t="s">
        <v>324</v>
      </c>
      <c r="G14" s="108"/>
      <c r="H14" s="109"/>
    </row>
    <row r="15" spans="2:8" ht="18" customHeight="1">
      <c r="B15" s="194"/>
      <c r="C15" s="197"/>
      <c r="D15" s="174" t="s">
        <v>325</v>
      </c>
      <c r="E15" s="106" t="s">
        <v>323</v>
      </c>
      <c r="F15" s="110" t="s">
        <v>326</v>
      </c>
      <c r="G15" s="108" t="s">
        <v>327</v>
      </c>
      <c r="H15" s="111" t="s">
        <v>328</v>
      </c>
    </row>
    <row r="16" spans="2:8" ht="18" customHeight="1">
      <c r="B16" s="194"/>
      <c r="C16" s="197"/>
      <c r="D16" s="173"/>
      <c r="E16" s="106" t="s">
        <v>329</v>
      </c>
      <c r="F16" s="107" t="s">
        <v>330</v>
      </c>
      <c r="G16" s="108"/>
      <c r="H16" s="109"/>
    </row>
    <row r="17" spans="2:8" ht="18" customHeight="1">
      <c r="B17" s="194"/>
      <c r="C17" s="197"/>
      <c r="D17" s="173"/>
      <c r="E17" s="106" t="s">
        <v>331</v>
      </c>
      <c r="F17" s="110" t="s">
        <v>332</v>
      </c>
      <c r="G17" s="112">
        <v>16105146</v>
      </c>
      <c r="H17" s="111" t="s">
        <v>333</v>
      </c>
    </row>
    <row r="18" spans="2:8" ht="18" customHeight="1">
      <c r="B18" s="194"/>
      <c r="C18" s="197"/>
      <c r="D18" s="173"/>
      <c r="E18" s="106" t="s">
        <v>334</v>
      </c>
      <c r="F18" s="107" t="s">
        <v>335</v>
      </c>
      <c r="G18" s="112">
        <v>16106002</v>
      </c>
      <c r="H18" s="109"/>
    </row>
    <row r="19" spans="2:8" ht="18" customHeight="1">
      <c r="B19" s="194"/>
      <c r="C19" s="197"/>
      <c r="D19" s="173"/>
      <c r="E19" s="106" t="s">
        <v>336</v>
      </c>
      <c r="F19" s="107" t="s">
        <v>337</v>
      </c>
      <c r="G19" s="108"/>
      <c r="H19" s="109"/>
    </row>
    <row r="20" spans="2:8" ht="18" customHeight="1">
      <c r="B20" s="194"/>
      <c r="C20" s="197"/>
      <c r="D20" s="173"/>
      <c r="E20" s="106" t="s">
        <v>338</v>
      </c>
      <c r="F20" s="107" t="s">
        <v>339</v>
      </c>
      <c r="G20" s="108"/>
      <c r="H20" s="109"/>
    </row>
    <row r="21" spans="2:8" ht="18" customHeight="1">
      <c r="B21" s="194"/>
      <c r="C21" s="197"/>
      <c r="D21" s="175"/>
      <c r="E21" s="106" t="s">
        <v>340</v>
      </c>
      <c r="F21" s="113" t="s">
        <v>341</v>
      </c>
      <c r="G21" s="112">
        <v>16109031</v>
      </c>
      <c r="H21" s="111" t="s">
        <v>342</v>
      </c>
    </row>
    <row r="22" spans="2:8" ht="18" customHeight="1">
      <c r="B22" s="194"/>
      <c r="C22" s="197"/>
      <c r="D22" s="175"/>
      <c r="E22" s="106" t="s">
        <v>343</v>
      </c>
      <c r="F22" s="110" t="s">
        <v>344</v>
      </c>
      <c r="G22" s="108" t="s">
        <v>345</v>
      </c>
      <c r="H22" s="111" t="s">
        <v>342</v>
      </c>
    </row>
    <row r="23" spans="2:8" ht="18" customHeight="1">
      <c r="B23" s="194"/>
      <c r="C23" s="197"/>
      <c r="D23" s="173"/>
      <c r="E23" s="106" t="s">
        <v>346</v>
      </c>
      <c r="F23" s="107" t="s">
        <v>347</v>
      </c>
      <c r="G23" s="108"/>
      <c r="H23" s="109"/>
    </row>
    <row r="24" spans="2:8" ht="18" customHeight="1">
      <c r="B24" s="194"/>
      <c r="C24" s="197"/>
      <c r="D24" s="173"/>
      <c r="E24" s="106" t="s">
        <v>348</v>
      </c>
      <c r="F24" s="107" t="s">
        <v>349</v>
      </c>
      <c r="G24" s="108"/>
      <c r="H24" s="109"/>
    </row>
    <row r="25" spans="2:8" ht="18" customHeight="1">
      <c r="B25" s="194"/>
      <c r="C25" s="197"/>
      <c r="D25" s="173"/>
      <c r="E25" s="106" t="s">
        <v>350</v>
      </c>
      <c r="F25" s="107">
        <v>113</v>
      </c>
      <c r="G25" s="108" t="s">
        <v>351</v>
      </c>
      <c r="H25" s="109"/>
    </row>
    <row r="26" spans="2:8" ht="18" customHeight="1">
      <c r="B26" s="194"/>
      <c r="C26" s="197"/>
      <c r="D26" s="173"/>
      <c r="E26" s="106" t="s">
        <v>352</v>
      </c>
      <c r="F26" s="107">
        <v>114</v>
      </c>
      <c r="G26" s="108"/>
      <c r="H26" s="109"/>
    </row>
    <row r="27" spans="2:8" ht="18" customHeight="1">
      <c r="B27" s="194"/>
      <c r="C27" s="197"/>
      <c r="D27" s="173"/>
      <c r="E27" s="109" t="s">
        <v>353</v>
      </c>
      <c r="F27" s="107">
        <v>115</v>
      </c>
      <c r="G27" s="112"/>
      <c r="H27" s="109"/>
    </row>
    <row r="28" spans="2:8" ht="18" customHeight="1">
      <c r="B28" s="194"/>
      <c r="C28" s="197"/>
      <c r="D28" s="173"/>
      <c r="E28" s="114" t="s">
        <v>354</v>
      </c>
      <c r="F28" s="107">
        <v>116</v>
      </c>
      <c r="G28" s="108"/>
      <c r="H28" s="109"/>
    </row>
    <row r="29" spans="2:8" ht="18" customHeight="1">
      <c r="B29" s="194"/>
      <c r="C29" s="197"/>
      <c r="D29" s="173"/>
      <c r="E29" s="109" t="s">
        <v>355</v>
      </c>
      <c r="F29" s="107">
        <v>117</v>
      </c>
      <c r="G29" s="108"/>
      <c r="H29" s="109"/>
    </row>
    <row r="30" spans="2:8" ht="18" customHeight="1">
      <c r="B30" s="194"/>
      <c r="C30" s="197"/>
      <c r="D30" s="173"/>
      <c r="E30" s="109" t="s">
        <v>356</v>
      </c>
      <c r="F30" s="107">
        <v>118</v>
      </c>
      <c r="G30" s="108"/>
      <c r="H30" s="109"/>
    </row>
    <row r="31" spans="2:8" ht="18" customHeight="1">
      <c r="B31" s="194"/>
      <c r="C31" s="197"/>
      <c r="D31" s="173"/>
      <c r="E31" s="109" t="s">
        <v>357</v>
      </c>
      <c r="F31" s="107">
        <v>119</v>
      </c>
      <c r="G31" s="108"/>
      <c r="H31" s="109"/>
    </row>
    <row r="32" spans="2:8" ht="18" customHeight="1">
      <c r="B32" s="194"/>
      <c r="C32" s="197"/>
      <c r="D32" s="173"/>
      <c r="E32" s="109" t="s">
        <v>358</v>
      </c>
      <c r="F32" s="107">
        <v>120</v>
      </c>
      <c r="G32" s="108"/>
      <c r="H32" s="109"/>
    </row>
    <row r="33" spans="2:8" ht="18" customHeight="1">
      <c r="B33" s="194"/>
      <c r="C33" s="197"/>
      <c r="D33" s="173"/>
      <c r="E33" s="109" t="s">
        <v>359</v>
      </c>
      <c r="F33" s="107">
        <v>121</v>
      </c>
      <c r="G33" s="112">
        <v>16121002</v>
      </c>
      <c r="H33" s="109"/>
    </row>
    <row r="34" spans="2:8" ht="18" customHeight="1">
      <c r="B34" s="194"/>
      <c r="C34" s="197"/>
      <c r="D34" s="173"/>
      <c r="E34" s="109" t="s">
        <v>360</v>
      </c>
      <c r="F34" s="158">
        <v>122</v>
      </c>
      <c r="G34" s="112"/>
      <c r="H34" s="109"/>
    </row>
    <row r="35" spans="2:8" ht="18" customHeight="1">
      <c r="B35" s="194"/>
      <c r="C35" s="197"/>
      <c r="D35" s="163"/>
      <c r="E35" s="159" t="s">
        <v>588</v>
      </c>
      <c r="F35" s="160">
        <v>123</v>
      </c>
      <c r="G35" s="79"/>
      <c r="H35" s="78"/>
    </row>
    <row r="36" spans="2:8" ht="18" customHeight="1">
      <c r="B36" s="194"/>
      <c r="C36" s="197"/>
      <c r="D36" s="163"/>
      <c r="E36" s="164" t="s">
        <v>680</v>
      </c>
      <c r="F36" s="160">
        <v>124</v>
      </c>
      <c r="G36" s="79" t="s">
        <v>679</v>
      </c>
      <c r="H36" s="78"/>
    </row>
    <row r="37" spans="2:8" ht="18" customHeight="1">
      <c r="B37" s="194"/>
      <c r="C37" s="197"/>
      <c r="D37" s="163"/>
      <c r="E37" s="164" t="s">
        <v>685</v>
      </c>
      <c r="F37" s="160">
        <v>125</v>
      </c>
      <c r="G37" s="79" t="s">
        <v>686</v>
      </c>
      <c r="H37" s="78"/>
    </row>
    <row r="38" spans="2:8" ht="18" customHeight="1">
      <c r="B38" s="194"/>
      <c r="C38" s="197"/>
      <c r="D38" s="163"/>
      <c r="E38" s="164" t="s">
        <v>701</v>
      </c>
      <c r="F38" s="160">
        <v>126</v>
      </c>
      <c r="G38" s="79"/>
      <c r="H38" s="78"/>
    </row>
    <row r="39" spans="2:8" ht="18" customHeight="1">
      <c r="B39" s="194"/>
      <c r="C39" s="197"/>
      <c r="D39" s="163"/>
      <c r="E39" s="164" t="s">
        <v>803</v>
      </c>
      <c r="F39" s="160">
        <v>127</v>
      </c>
      <c r="G39" s="79"/>
      <c r="H39" s="78"/>
    </row>
    <row r="40" spans="2:8" ht="18" customHeight="1">
      <c r="B40" s="78" t="s">
        <v>361</v>
      </c>
      <c r="C40" s="115" t="s">
        <v>362</v>
      </c>
      <c r="D40" s="116" t="s">
        <v>31</v>
      </c>
      <c r="E40" s="117" t="s">
        <v>363</v>
      </c>
      <c r="F40" s="118" t="s">
        <v>294</v>
      </c>
      <c r="G40" s="119"/>
      <c r="H40" s="74"/>
    </row>
    <row r="41" spans="2:8" ht="43.2">
      <c r="B41" s="74" t="s">
        <v>364</v>
      </c>
      <c r="C41" s="81" t="s">
        <v>365</v>
      </c>
      <c r="D41" s="74" t="s">
        <v>31</v>
      </c>
      <c r="E41" s="74" t="s">
        <v>31</v>
      </c>
      <c r="F41" s="103" t="s">
        <v>294</v>
      </c>
      <c r="G41" s="104" t="s">
        <v>366</v>
      </c>
      <c r="H41" s="120" t="s">
        <v>367</v>
      </c>
    </row>
    <row r="42" spans="2:8" ht="18" customHeight="1">
      <c r="B42" s="74" t="s">
        <v>368</v>
      </c>
      <c r="C42" s="75">
        <v>51</v>
      </c>
      <c r="D42" s="75"/>
      <c r="E42" s="74" t="s">
        <v>369</v>
      </c>
      <c r="F42" s="121" t="s">
        <v>370</v>
      </c>
      <c r="G42" s="121"/>
      <c r="H42" s="74"/>
    </row>
    <row r="43" spans="2:8" ht="18" customHeight="1">
      <c r="B43" s="74" t="s">
        <v>371</v>
      </c>
      <c r="C43" s="81" t="s">
        <v>372</v>
      </c>
      <c r="D43" s="122" t="s">
        <v>31</v>
      </c>
      <c r="E43" s="74" t="s">
        <v>373</v>
      </c>
      <c r="F43" s="103" t="s">
        <v>294</v>
      </c>
      <c r="G43" s="104"/>
      <c r="H43" s="123" t="s">
        <v>374</v>
      </c>
    </row>
    <row r="44" spans="2:8" ht="28.8">
      <c r="B44" s="196" t="s">
        <v>375</v>
      </c>
      <c r="C44" s="197" t="s">
        <v>376</v>
      </c>
      <c r="D44" s="124" t="s">
        <v>377</v>
      </c>
      <c r="E44" s="125" t="s">
        <v>378</v>
      </c>
      <c r="F44" s="126" t="s">
        <v>294</v>
      </c>
      <c r="G44" s="127" t="s">
        <v>379</v>
      </c>
      <c r="H44" s="198" t="s">
        <v>380</v>
      </c>
    </row>
    <row r="45" spans="2:8" ht="18" customHeight="1">
      <c r="B45" s="196"/>
      <c r="C45" s="197"/>
      <c r="D45" s="78" t="s">
        <v>381</v>
      </c>
      <c r="E45" s="92" t="s">
        <v>382</v>
      </c>
      <c r="F45" s="93" t="s">
        <v>324</v>
      </c>
      <c r="G45" s="94" t="s">
        <v>383</v>
      </c>
      <c r="H45" s="198"/>
    </row>
    <row r="46" spans="2:8" ht="43.2">
      <c r="B46" s="74" t="s">
        <v>384</v>
      </c>
      <c r="C46" s="81" t="s">
        <v>385</v>
      </c>
      <c r="D46" s="74" t="s">
        <v>373</v>
      </c>
      <c r="E46" s="74" t="s">
        <v>31</v>
      </c>
      <c r="F46" s="103" t="s">
        <v>294</v>
      </c>
      <c r="G46" s="104"/>
      <c r="H46" s="128" t="s">
        <v>386</v>
      </c>
    </row>
    <row r="47" spans="2:8" ht="43.2">
      <c r="B47" s="74" t="s">
        <v>387</v>
      </c>
      <c r="C47" s="81">
        <v>66</v>
      </c>
      <c r="D47" s="74" t="s">
        <v>388</v>
      </c>
      <c r="E47" s="74" t="s">
        <v>389</v>
      </c>
      <c r="F47" s="75">
        <v>111</v>
      </c>
      <c r="G47" s="121" t="s">
        <v>390</v>
      </c>
      <c r="H47" s="120" t="s">
        <v>380</v>
      </c>
    </row>
    <row r="48" spans="2:8" ht="18" customHeight="1">
      <c r="B48" s="74" t="s">
        <v>391</v>
      </c>
      <c r="C48" s="81">
        <v>59</v>
      </c>
      <c r="D48" s="74"/>
      <c r="E48" s="74" t="s">
        <v>392</v>
      </c>
      <c r="F48" s="75">
        <v>101</v>
      </c>
      <c r="G48" s="121"/>
      <c r="H48" s="74" t="s">
        <v>393</v>
      </c>
    </row>
    <row r="49" spans="2:8" ht="18" customHeight="1">
      <c r="B49" s="74" t="s">
        <v>394</v>
      </c>
      <c r="C49" s="75">
        <v>69</v>
      </c>
      <c r="D49" s="74"/>
      <c r="E49" s="74" t="s">
        <v>395</v>
      </c>
      <c r="F49" s="75">
        <v>101</v>
      </c>
      <c r="G49" s="121"/>
      <c r="H49" s="74" t="s">
        <v>393</v>
      </c>
    </row>
    <row r="50" spans="2:8" ht="18" customHeight="1">
      <c r="B50" s="74" t="s">
        <v>396</v>
      </c>
      <c r="C50" s="75">
        <v>70</v>
      </c>
      <c r="D50" s="74"/>
      <c r="E50" s="74" t="s">
        <v>397</v>
      </c>
      <c r="F50" s="75">
        <v>101</v>
      </c>
      <c r="G50" s="121"/>
      <c r="H50" s="74" t="s">
        <v>393</v>
      </c>
    </row>
    <row r="51" spans="2:8" ht="18" customHeight="1">
      <c r="B51" s="74" t="s">
        <v>398</v>
      </c>
      <c r="C51" s="75">
        <v>71</v>
      </c>
      <c r="D51" s="75"/>
      <c r="E51" s="74"/>
      <c r="F51" s="75">
        <v>101</v>
      </c>
      <c r="G51" s="121"/>
      <c r="H51" s="74" t="s">
        <v>393</v>
      </c>
    </row>
  </sheetData>
  <mergeCells count="11">
    <mergeCell ref="B44:B45"/>
    <mergeCell ref="C44:C45"/>
    <mergeCell ref="H44:H45"/>
    <mergeCell ref="C12:C39"/>
    <mergeCell ref="B12:B39"/>
    <mergeCell ref="C3:G3"/>
    <mergeCell ref="H3:H4"/>
    <mergeCell ref="B6:B8"/>
    <mergeCell ref="C6:C8"/>
    <mergeCell ref="B9:B10"/>
    <mergeCell ref="C9:C10"/>
  </mergeCells>
  <phoneticPr fontId="7"/>
  <dataValidations count="1">
    <dataValidation imeMode="on" allowBlank="1" showInputMessage="1" showErrorMessage="1" sqref="E45 E8:E10 E6 E28:E34" xr:uid="{E2F950C2-773C-4091-81B2-CD2CB952B88B}"/>
  </dataValidations>
  <printOptions horizontalCentered="1"/>
  <pageMargins left="0.19685039370078741" right="0.19685039370078741" top="0.39370078740157483" bottom="0.19685039370078741" header="0.31496062992125984" footer="0.31496062992125984"/>
  <pageSetup paperSize="9" scale="6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9B5B-8BB3-4821-B159-9A01184C3818}">
  <sheetPr codeName="Sheet24"/>
  <dimension ref="B1:H24"/>
  <sheetViews>
    <sheetView zoomScaleNormal="100" workbookViewId="0">
      <selection activeCell="B1" sqref="B1"/>
    </sheetView>
  </sheetViews>
  <sheetFormatPr defaultColWidth="8.59765625" defaultRowHeight="16.5" customHeight="1"/>
  <cols>
    <col min="1" max="1" width="5" style="7" customWidth="1"/>
    <col min="2" max="2" width="3.5" style="7" customWidth="1"/>
    <col min="3" max="3" width="32.796875" style="7" customWidth="1"/>
    <col min="4" max="4" width="6.796875" style="7" bestFit="1" customWidth="1"/>
    <col min="5" max="5" width="8.59765625" style="7" customWidth="1"/>
    <col min="6" max="6" width="11.09765625" style="7" bestFit="1" customWidth="1"/>
    <col min="7" max="7" width="5" style="7" bestFit="1" customWidth="1"/>
    <col min="8" max="16384" width="8.59765625" style="7"/>
  </cols>
  <sheetData>
    <row r="1" spans="2:8" ht="16.5" customHeight="1">
      <c r="B1" s="46" t="s">
        <v>399</v>
      </c>
      <c r="F1" s="69"/>
      <c r="G1" s="70"/>
      <c r="H1" s="70"/>
    </row>
    <row r="2" spans="2:8" ht="16.5" customHeight="1">
      <c r="F2" s="142"/>
      <c r="H2" s="134"/>
    </row>
    <row r="3" spans="2:8" ht="16.5" customHeight="1">
      <c r="F3" s="51">
        <v>44433</v>
      </c>
      <c r="G3" s="52" t="s">
        <v>400</v>
      </c>
    </row>
    <row r="4" spans="2:8" ht="16.5" customHeight="1">
      <c r="F4" s="142"/>
    </row>
    <row r="5" spans="2:8" ht="16.5" customHeight="1">
      <c r="B5" s="143" t="s">
        <v>401</v>
      </c>
    </row>
    <row r="6" spans="2:8" ht="16.5" customHeight="1">
      <c r="C6" s="7" t="s">
        <v>402</v>
      </c>
    </row>
    <row r="7" spans="2:8" ht="16.5" customHeight="1">
      <c r="C7" s="7" t="s">
        <v>403</v>
      </c>
    </row>
    <row r="8" spans="2:8" ht="7.05" customHeight="1"/>
    <row r="9" spans="2:8" ht="16.5" customHeight="1">
      <c r="C9" s="134" t="s">
        <v>404</v>
      </c>
    </row>
    <row r="10" spans="2:8" ht="16.5" customHeight="1">
      <c r="C10" s="134" t="s">
        <v>405</v>
      </c>
    </row>
    <row r="11" spans="2:8" ht="16.5" customHeight="1">
      <c r="C11" s="134" t="s">
        <v>406</v>
      </c>
    </row>
    <row r="13" spans="2:8" ht="16.5" customHeight="1">
      <c r="B13" s="143" t="s">
        <v>407</v>
      </c>
    </row>
    <row r="14" spans="2:8" ht="16.5" customHeight="1">
      <c r="B14" s="143"/>
      <c r="C14" s="7" t="s">
        <v>408</v>
      </c>
    </row>
    <row r="15" spans="2:8" ht="7.05" customHeight="1">
      <c r="B15" s="143"/>
    </row>
    <row r="16" spans="2:8" ht="16.5" customHeight="1">
      <c r="C16" s="7" t="s">
        <v>409</v>
      </c>
    </row>
    <row r="17" spans="2:4" ht="16.5" customHeight="1">
      <c r="C17" s="7" t="s">
        <v>410</v>
      </c>
      <c r="D17" s="7" t="s">
        <v>411</v>
      </c>
    </row>
    <row r="18" spans="2:4" ht="16.5" customHeight="1">
      <c r="C18" s="7" t="s">
        <v>412</v>
      </c>
      <c r="D18" s="7" t="s">
        <v>413</v>
      </c>
    </row>
    <row r="19" spans="2:4" ht="16.5" customHeight="1">
      <c r="C19" s="7" t="s">
        <v>414</v>
      </c>
      <c r="D19" s="7" t="s">
        <v>415</v>
      </c>
    </row>
    <row r="20" spans="2:4" ht="16.5" customHeight="1">
      <c r="C20" s="7" t="s">
        <v>416</v>
      </c>
      <c r="D20" s="7" t="s">
        <v>417</v>
      </c>
    </row>
    <row r="21" spans="2:4" ht="16.5" customHeight="1">
      <c r="C21" s="7" t="s">
        <v>418</v>
      </c>
      <c r="D21" s="7" t="s">
        <v>419</v>
      </c>
    </row>
    <row r="23" spans="2:4" ht="16.5" customHeight="1">
      <c r="B23" s="143" t="s">
        <v>420</v>
      </c>
    </row>
    <row r="24" spans="2:4" ht="16.5" customHeight="1">
      <c r="C24" s="7" t="s">
        <v>421</v>
      </c>
    </row>
  </sheetData>
  <phoneticPr fontId="7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28FE-D02A-4C01-8D7A-1CD82EA1AB82}">
  <sheetPr codeName="Sheet25"/>
  <dimension ref="B1:J45"/>
  <sheetViews>
    <sheetView zoomScaleNormal="100" workbookViewId="0">
      <selection activeCell="E13" sqref="E13"/>
    </sheetView>
  </sheetViews>
  <sheetFormatPr defaultColWidth="8.59765625" defaultRowHeight="17.100000000000001" customHeight="1"/>
  <cols>
    <col min="1" max="1" width="5" style="7" customWidth="1"/>
    <col min="2" max="2" width="3.5" style="7" customWidth="1"/>
    <col min="3" max="3" width="13" style="7" customWidth="1"/>
    <col min="4" max="4" width="11.09765625" style="7" bestFit="1" customWidth="1"/>
    <col min="5" max="5" width="6.59765625" style="7" customWidth="1"/>
    <col min="6" max="6" width="6.796875" style="7" bestFit="1" customWidth="1"/>
    <col min="7" max="7" width="11.09765625" style="7" bestFit="1" customWidth="1"/>
    <col min="8" max="8" width="5" style="7" bestFit="1" customWidth="1"/>
    <col min="9" max="16384" width="8.59765625" style="7"/>
  </cols>
  <sheetData>
    <row r="1" spans="2:10" ht="17.100000000000001" customHeight="1">
      <c r="B1" s="46" t="s">
        <v>422</v>
      </c>
      <c r="G1" s="129">
        <v>44411</v>
      </c>
      <c r="H1" s="53" t="s">
        <v>423</v>
      </c>
      <c r="I1" s="53" t="s">
        <v>424</v>
      </c>
      <c r="J1" s="53"/>
    </row>
    <row r="2" spans="2:10" ht="17.100000000000001" customHeight="1">
      <c r="G2" s="51">
        <v>44277</v>
      </c>
      <c r="H2" s="52" t="s">
        <v>423</v>
      </c>
      <c r="I2" s="53" t="s">
        <v>425</v>
      </c>
      <c r="J2" s="52"/>
    </row>
    <row r="3" spans="2:10" ht="17.100000000000001" customHeight="1">
      <c r="G3" s="51">
        <v>44216</v>
      </c>
      <c r="H3" s="52" t="s">
        <v>426</v>
      </c>
      <c r="I3" s="52"/>
      <c r="J3" s="52"/>
    </row>
    <row r="4" spans="2:10" ht="17.100000000000001" customHeight="1">
      <c r="G4" s="51"/>
      <c r="H4" s="52"/>
      <c r="I4" s="52"/>
      <c r="J4" s="52"/>
    </row>
    <row r="5" spans="2:10" ht="17.100000000000001" customHeight="1">
      <c r="B5" s="7" t="s">
        <v>427</v>
      </c>
      <c r="G5" s="52"/>
      <c r="H5" s="52"/>
      <c r="I5" s="52"/>
      <c r="J5" s="52"/>
    </row>
    <row r="6" spans="2:10" ht="17.100000000000001" customHeight="1">
      <c r="C6" s="7" t="s">
        <v>428</v>
      </c>
    </row>
    <row r="7" spans="2:10" ht="17.100000000000001" customHeight="1">
      <c r="C7" s="130" t="s">
        <v>283</v>
      </c>
      <c r="D7" s="130" t="s">
        <v>286</v>
      </c>
      <c r="E7" s="21" t="s">
        <v>429</v>
      </c>
    </row>
    <row r="8" spans="2:10" ht="17.100000000000001" customHeight="1">
      <c r="C8" s="131" t="s">
        <v>430</v>
      </c>
      <c r="D8" s="131" t="s">
        <v>431</v>
      </c>
      <c r="E8" s="131" t="s">
        <v>432</v>
      </c>
      <c r="F8" s="132"/>
    </row>
    <row r="9" spans="2:10" ht="17.100000000000001" customHeight="1">
      <c r="C9" s="7" t="s">
        <v>433</v>
      </c>
    </row>
    <row r="10" spans="2:10" ht="7.05" customHeight="1"/>
    <row r="11" spans="2:10" ht="17.100000000000001" customHeight="1">
      <c r="C11" s="7" t="s">
        <v>434</v>
      </c>
      <c r="D11" s="133">
        <v>16101001</v>
      </c>
    </row>
    <row r="12" spans="2:10" ht="17.100000000000001" customHeight="1">
      <c r="C12" s="7" t="s">
        <v>435</v>
      </c>
      <c r="D12" s="133">
        <v>16101001</v>
      </c>
    </row>
    <row r="13" spans="2:10" ht="14.4"/>
    <row r="14" spans="2:10" ht="14.4">
      <c r="B14" s="7" t="s">
        <v>436</v>
      </c>
    </row>
    <row r="15" spans="2:10" ht="14.4">
      <c r="C15" s="7" t="s">
        <v>434</v>
      </c>
      <c r="D15" s="133">
        <v>16101002</v>
      </c>
    </row>
    <row r="16" spans="2:10" ht="14.4">
      <c r="C16" s="7" t="s">
        <v>437</v>
      </c>
      <c r="D16" s="7" t="s">
        <v>438</v>
      </c>
    </row>
    <row r="17" spans="2:9" ht="14.4">
      <c r="C17" s="7" t="s">
        <v>439</v>
      </c>
      <c r="D17" s="7" t="s">
        <v>440</v>
      </c>
    </row>
    <row r="18" spans="2:9" ht="14.4"/>
    <row r="19" spans="2:9" ht="14.4">
      <c r="B19" s="7" t="s">
        <v>441</v>
      </c>
    </row>
    <row r="20" spans="2:9" ht="14.4">
      <c r="C20" s="7" t="s">
        <v>434</v>
      </c>
      <c r="D20" s="133">
        <v>16101003</v>
      </c>
    </row>
    <row r="21" spans="2:9" ht="14.4">
      <c r="C21" s="7" t="s">
        <v>435</v>
      </c>
      <c r="D21" s="133">
        <v>16101003</v>
      </c>
    </row>
    <row r="22" spans="2:9" ht="14.4">
      <c r="C22" s="7" t="s">
        <v>435</v>
      </c>
      <c r="D22" s="7" t="s">
        <v>442</v>
      </c>
    </row>
    <row r="23" spans="2:9" ht="14.4">
      <c r="B23" s="134"/>
      <c r="C23" s="134"/>
      <c r="D23" s="134"/>
      <c r="E23" s="134"/>
      <c r="F23" s="134"/>
      <c r="G23" s="134"/>
      <c r="H23" s="134"/>
      <c r="I23" s="134"/>
    </row>
    <row r="24" spans="2:9" ht="14.4" hidden="1">
      <c r="B24" s="134" t="s">
        <v>443</v>
      </c>
      <c r="C24" s="134"/>
      <c r="D24" s="134"/>
      <c r="E24" s="134"/>
      <c r="F24" s="134"/>
      <c r="G24" s="134"/>
      <c r="H24" s="134"/>
      <c r="I24" s="134"/>
    </row>
    <row r="25" spans="2:9" ht="14.4" hidden="1">
      <c r="B25" s="134"/>
      <c r="C25" s="134" t="s">
        <v>444</v>
      </c>
      <c r="D25" s="134"/>
      <c r="E25" s="134"/>
      <c r="F25" s="134"/>
      <c r="G25" s="134"/>
      <c r="H25" s="134"/>
      <c r="I25" s="134"/>
    </row>
    <row r="26" spans="2:9" ht="14.4" hidden="1">
      <c r="B26" s="134"/>
      <c r="C26" s="135" t="s">
        <v>283</v>
      </c>
      <c r="D26" s="135" t="s">
        <v>286</v>
      </c>
      <c r="E26" s="136" t="s">
        <v>445</v>
      </c>
      <c r="F26" s="137" t="s">
        <v>429</v>
      </c>
      <c r="G26" s="134"/>
      <c r="H26" s="134"/>
      <c r="I26" s="134"/>
    </row>
    <row r="27" spans="2:9" ht="5.0999999999999996" hidden="1" customHeight="1">
      <c r="B27" s="134"/>
      <c r="C27" s="138" t="s">
        <v>446</v>
      </c>
      <c r="D27" s="138" t="s">
        <v>447</v>
      </c>
      <c r="E27" s="139" t="s">
        <v>448</v>
      </c>
      <c r="F27" s="138" t="s">
        <v>432</v>
      </c>
      <c r="G27" s="134"/>
      <c r="H27" s="134"/>
      <c r="I27" s="134"/>
    </row>
    <row r="28" spans="2:9" ht="14.4" hidden="1">
      <c r="B28" s="134"/>
      <c r="C28" s="134"/>
      <c r="D28" s="134"/>
      <c r="E28" s="134"/>
      <c r="F28" s="134"/>
      <c r="G28" s="134"/>
      <c r="H28" s="134"/>
      <c r="I28" s="134"/>
    </row>
    <row r="29" spans="2:9" ht="14.4" hidden="1">
      <c r="B29" s="134"/>
      <c r="C29" s="134" t="s">
        <v>449</v>
      </c>
      <c r="D29" s="140">
        <v>54123001</v>
      </c>
      <c r="E29" s="134"/>
      <c r="F29" s="134"/>
      <c r="G29" s="134"/>
      <c r="H29" s="134"/>
      <c r="I29" s="134"/>
    </row>
    <row r="30" spans="2:9" ht="14.4" hidden="1">
      <c r="B30" s="134"/>
      <c r="C30" s="134"/>
      <c r="D30" s="134"/>
      <c r="E30" s="134"/>
      <c r="F30" s="134"/>
      <c r="G30" s="134"/>
      <c r="H30" s="134"/>
      <c r="I30" s="134"/>
    </row>
    <row r="31" spans="2:9" ht="14.4">
      <c r="B31" s="134" t="s">
        <v>450</v>
      </c>
      <c r="C31" s="134"/>
      <c r="D31" s="134"/>
      <c r="E31" s="134"/>
      <c r="F31" s="134"/>
      <c r="G31" s="134"/>
      <c r="H31" s="134"/>
      <c r="I31" s="134"/>
    </row>
    <row r="32" spans="2:9" ht="14.4">
      <c r="B32" s="134"/>
      <c r="C32" s="134" t="s">
        <v>451</v>
      </c>
      <c r="D32" s="140">
        <v>2089</v>
      </c>
      <c r="E32" s="134"/>
      <c r="F32" s="134"/>
      <c r="G32" s="134"/>
      <c r="H32" s="134"/>
      <c r="I32" s="134"/>
    </row>
    <row r="33" spans="2:9" ht="14.4">
      <c r="B33" s="134"/>
      <c r="C33" s="134" t="s">
        <v>449</v>
      </c>
      <c r="D33" s="140">
        <v>2089</v>
      </c>
      <c r="E33" s="134"/>
      <c r="F33" s="134"/>
      <c r="G33" s="134"/>
      <c r="H33" s="134"/>
      <c r="I33" s="134"/>
    </row>
    <row r="34" spans="2:9" ht="14.4">
      <c r="B34" s="134"/>
      <c r="C34" s="134"/>
      <c r="D34" s="134"/>
      <c r="E34" s="134"/>
      <c r="F34" s="134"/>
      <c r="G34" s="134"/>
      <c r="H34" s="134"/>
      <c r="I34" s="134"/>
    </row>
    <row r="35" spans="2:9" ht="14.4">
      <c r="B35" s="134" t="s">
        <v>452</v>
      </c>
      <c r="C35" s="134"/>
      <c r="D35" s="134"/>
      <c r="E35" s="134"/>
      <c r="F35" s="134"/>
      <c r="G35" s="134"/>
      <c r="H35" s="134"/>
      <c r="I35" s="134"/>
    </row>
    <row r="36" spans="2:9" ht="14.4">
      <c r="B36" s="134"/>
      <c r="C36" s="134" t="s">
        <v>451</v>
      </c>
      <c r="D36" s="140">
        <v>2090</v>
      </c>
      <c r="E36" s="134"/>
      <c r="F36" s="134"/>
      <c r="G36" s="134"/>
      <c r="H36" s="134"/>
      <c r="I36" s="134"/>
    </row>
    <row r="37" spans="2:9" ht="14.4">
      <c r="B37" s="134"/>
      <c r="C37" s="134" t="s">
        <v>449</v>
      </c>
      <c r="D37" s="141" t="s">
        <v>453</v>
      </c>
      <c r="E37" s="134"/>
      <c r="F37" s="134"/>
      <c r="G37" s="134"/>
      <c r="H37" s="134"/>
      <c r="I37" s="134"/>
    </row>
    <row r="38" spans="2:9" ht="14.4">
      <c r="B38" s="134"/>
      <c r="C38" s="134" t="s">
        <v>449</v>
      </c>
      <c r="D38" s="141" t="s">
        <v>454</v>
      </c>
      <c r="E38" s="134"/>
      <c r="F38" s="134"/>
      <c r="G38" s="134"/>
      <c r="H38" s="134"/>
      <c r="I38" s="134"/>
    </row>
    <row r="39" spans="2:9" ht="14.4">
      <c r="B39" s="134"/>
      <c r="C39" s="134"/>
      <c r="D39" s="134"/>
      <c r="E39" s="134"/>
      <c r="F39" s="134"/>
      <c r="G39" s="134"/>
      <c r="H39" s="134"/>
      <c r="I39" s="134"/>
    </row>
    <row r="40" spans="2:9" ht="14.4">
      <c r="B40" s="134"/>
      <c r="C40" s="134"/>
      <c r="D40" s="134"/>
      <c r="E40" s="134"/>
      <c r="F40" s="134"/>
      <c r="G40" s="134"/>
      <c r="H40" s="134"/>
      <c r="I40" s="134"/>
    </row>
    <row r="41" spans="2:9" ht="14.4">
      <c r="B41" s="134"/>
      <c r="C41" s="134"/>
      <c r="D41" s="134"/>
      <c r="E41" s="134"/>
      <c r="F41" s="134"/>
      <c r="G41" s="134"/>
      <c r="H41" s="134"/>
      <c r="I41" s="134"/>
    </row>
    <row r="42" spans="2:9" ht="14.4">
      <c r="B42" s="134"/>
      <c r="C42" s="134"/>
      <c r="D42" s="134"/>
      <c r="E42" s="134"/>
      <c r="F42" s="134"/>
      <c r="G42" s="134"/>
      <c r="H42" s="134"/>
      <c r="I42" s="134"/>
    </row>
    <row r="43" spans="2:9" ht="14.4">
      <c r="B43" s="134"/>
      <c r="C43" s="134"/>
      <c r="D43" s="134"/>
      <c r="E43" s="134"/>
      <c r="F43" s="134"/>
      <c r="G43" s="134"/>
      <c r="H43" s="134"/>
      <c r="I43" s="134"/>
    </row>
    <row r="44" spans="2:9" ht="14.4">
      <c r="B44" s="134"/>
      <c r="C44" s="134"/>
      <c r="D44" s="134"/>
      <c r="E44" s="134"/>
      <c r="F44" s="134"/>
      <c r="G44" s="134"/>
      <c r="H44" s="134"/>
      <c r="I44" s="134"/>
    </row>
    <row r="45" spans="2:9" ht="14.4">
      <c r="B45" s="134"/>
      <c r="C45" s="134"/>
      <c r="D45" s="134"/>
      <c r="E45" s="134"/>
      <c r="F45" s="134"/>
      <c r="G45" s="134"/>
      <c r="H45" s="134"/>
      <c r="I45" s="134"/>
    </row>
  </sheetData>
  <phoneticPr fontId="7"/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937B-2A05-4994-8ADA-841C63D1C78B}">
  <sheetPr codeName="Sheet26"/>
  <dimension ref="B2:C15"/>
  <sheetViews>
    <sheetView workbookViewId="0">
      <pane ySplit="2" topLeftCell="A3" activePane="bottomLeft" state="frozen"/>
      <selection pane="bottomLeft" activeCell="N16" sqref="N16"/>
    </sheetView>
  </sheetViews>
  <sheetFormatPr defaultColWidth="8.59765625" defaultRowHeight="17.55" customHeight="1"/>
  <cols>
    <col min="1" max="1" width="8.59765625" style="7"/>
    <col min="2" max="2" width="7.796875" style="24" bestFit="1" customWidth="1"/>
    <col min="3" max="16384" width="8.59765625" style="7"/>
  </cols>
  <sheetData>
    <row r="2" spans="2:3" ht="17.55" customHeight="1">
      <c r="B2" s="21" t="s">
        <v>8</v>
      </c>
    </row>
    <row r="3" spans="2:3" ht="17.55" customHeight="1">
      <c r="B3" s="33" t="s">
        <v>455</v>
      </c>
    </row>
    <row r="4" spans="2:3" ht="17.55" customHeight="1">
      <c r="B4" s="18" t="s">
        <v>456</v>
      </c>
      <c r="C4" s="21" t="s">
        <v>457</v>
      </c>
    </row>
    <row r="5" spans="2:3" ht="17.55" customHeight="1">
      <c r="B5" s="19" t="s">
        <v>458</v>
      </c>
    </row>
    <row r="6" spans="2:3" ht="17.55" customHeight="1">
      <c r="B6" s="20" t="s">
        <v>44</v>
      </c>
    </row>
    <row r="7" spans="2:3" ht="17.55" customHeight="1">
      <c r="B7" s="18" t="s">
        <v>459</v>
      </c>
      <c r="C7" s="21" t="s">
        <v>460</v>
      </c>
    </row>
    <row r="8" spans="2:3" ht="17.55" customHeight="1">
      <c r="B8" s="21" t="s">
        <v>461</v>
      </c>
    </row>
    <row r="9" spans="2:3" ht="17.55" customHeight="1">
      <c r="B9" s="22" t="s">
        <v>28</v>
      </c>
      <c r="C9" s="21" t="s">
        <v>462</v>
      </c>
    </row>
    <row r="10" spans="2:3" ht="17.55" customHeight="1">
      <c r="B10" s="22" t="s">
        <v>463</v>
      </c>
    </row>
    <row r="11" spans="2:3" ht="17.55" customHeight="1">
      <c r="B11" s="23" t="s">
        <v>464</v>
      </c>
    </row>
    <row r="12" spans="2:3" ht="17.55" customHeight="1">
      <c r="B12" s="23" t="s">
        <v>465</v>
      </c>
    </row>
    <row r="13" spans="2:3" ht="17.55" customHeight="1">
      <c r="B13" s="55" t="s">
        <v>466</v>
      </c>
    </row>
    <row r="14" spans="2:3" ht="17.55" customHeight="1">
      <c r="B14" s="21"/>
    </row>
    <row r="15" spans="2:3" ht="17.55" customHeight="1">
      <c r="B15" s="21"/>
    </row>
  </sheetData>
  <phoneticPr fontId="7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860F-9437-4CAE-BDF9-197638B00661}">
  <sheetPr codeName="Sheet27"/>
  <dimension ref="B1:K21"/>
  <sheetViews>
    <sheetView workbookViewId="0">
      <selection activeCell="L12" sqref="L12"/>
    </sheetView>
  </sheetViews>
  <sheetFormatPr defaultRowHeight="18"/>
  <cols>
    <col min="2" max="2" width="0" hidden="1" customWidth="1"/>
    <col min="3" max="3" width="27.59765625" bestFit="1" customWidth="1"/>
    <col min="5" max="5" width="8.59765625" hidden="1" customWidth="1"/>
    <col min="6" max="6" width="12.796875" bestFit="1" customWidth="1"/>
    <col min="7" max="7" width="21.296875" bestFit="1" customWidth="1"/>
    <col min="8" max="8" width="11.5" bestFit="1" customWidth="1"/>
  </cols>
  <sheetData>
    <row r="1" spans="2:11">
      <c r="C1" t="s">
        <v>483</v>
      </c>
    </row>
    <row r="2" spans="2:11">
      <c r="B2" t="str">
        <f>Fr骨格!B3</f>
        <v>No</v>
      </c>
      <c r="C2" t="str">
        <f>Fr骨格!C3</f>
        <v>部署名</v>
      </c>
      <c r="D2" t="str">
        <f>Fr骨格!D3</f>
        <v>見積/請求番号</v>
      </c>
      <c r="E2" t="str">
        <f>Fr骨格!E3</f>
        <v>発注番号</v>
      </c>
      <c r="F2" t="str">
        <f>Fr骨格!F3</f>
        <v>業務計画書No</v>
      </c>
      <c r="G2" t="str">
        <f>Fr骨格!G3</f>
        <v>案件名</v>
      </c>
      <c r="H2" t="str">
        <f>Fr骨格!H3</f>
        <v>見積金額</v>
      </c>
      <c r="I2" t="str">
        <f>Fr骨格!I3</f>
        <v>見積月</v>
      </c>
      <c r="J2" t="str">
        <f>Fr骨格!J3</f>
        <v>発行日</v>
      </c>
      <c r="K2" t="str">
        <f>Fr骨格!K3</f>
        <v>発行者</v>
      </c>
    </row>
    <row r="3" spans="2:11">
      <c r="B3" s="146">
        <f>'A12'!B23</f>
        <v>20</v>
      </c>
      <c r="C3" s="4"/>
      <c r="D3" s="56"/>
      <c r="E3" s="4"/>
      <c r="F3" s="65"/>
      <c r="G3" s="4"/>
      <c r="H3" s="10"/>
      <c r="I3" s="3"/>
      <c r="J3" s="1"/>
      <c r="K3" s="3"/>
    </row>
    <row r="4" spans="2:11">
      <c r="B4" s="146">
        <f>Fr骨格!B28</f>
        <v>25</v>
      </c>
      <c r="C4" s="3"/>
      <c r="D4" s="3"/>
      <c r="E4" s="3"/>
      <c r="F4" s="147"/>
      <c r="G4" s="3"/>
      <c r="H4" s="148"/>
      <c r="I4" s="3"/>
      <c r="J4" s="1"/>
      <c r="K4" s="3"/>
    </row>
    <row r="5" spans="2:11">
      <c r="B5" s="146">
        <f>Fr骨格!B29</f>
        <v>26</v>
      </c>
      <c r="C5" s="3"/>
      <c r="D5" s="3"/>
      <c r="E5" s="3"/>
      <c r="F5" s="147"/>
      <c r="G5" s="3"/>
      <c r="H5" s="148"/>
      <c r="I5" s="3"/>
      <c r="J5" s="1"/>
      <c r="K5" s="3"/>
    </row>
    <row r="6" spans="2:11">
      <c r="B6" s="146">
        <f>Fr骨格!B30</f>
        <v>27</v>
      </c>
      <c r="C6" s="3"/>
      <c r="D6" s="3"/>
      <c r="E6" s="3"/>
      <c r="F6" s="147"/>
      <c r="G6" s="3"/>
      <c r="H6" s="148"/>
      <c r="I6" s="3"/>
      <c r="J6" s="1"/>
      <c r="K6" s="3"/>
    </row>
    <row r="7" spans="2:11">
      <c r="B7" s="146">
        <f>Rr骨格!B26</f>
        <v>23</v>
      </c>
      <c r="C7" s="3"/>
      <c r="D7" s="3"/>
      <c r="E7" s="3"/>
      <c r="F7" s="147"/>
      <c r="G7" s="3"/>
      <c r="H7" s="148"/>
      <c r="I7" s="3"/>
      <c r="J7" s="1"/>
      <c r="K7" s="3"/>
    </row>
    <row r="8" spans="2:11">
      <c r="B8" s="146">
        <f>Rr骨格!B27</f>
        <v>24</v>
      </c>
      <c r="C8" s="3"/>
      <c r="D8" s="3"/>
      <c r="E8" s="3"/>
      <c r="F8" s="147"/>
      <c r="G8" s="3"/>
      <c r="H8" s="148"/>
      <c r="I8" s="3"/>
      <c r="J8" s="1"/>
      <c r="K8" s="3"/>
    </row>
    <row r="9" spans="2:11">
      <c r="B9" s="146">
        <f>Rr骨格!B28</f>
        <v>25</v>
      </c>
      <c r="C9" s="3"/>
      <c r="D9" s="3"/>
      <c r="E9" s="3"/>
      <c r="F9" s="147"/>
      <c r="G9" s="3"/>
      <c r="H9" s="148"/>
      <c r="I9" s="3"/>
      <c r="J9" s="1"/>
      <c r="K9" s="3"/>
    </row>
    <row r="10" spans="2:11">
      <c r="B10" s="146" t="e">
        <f>#REF!</f>
        <v>#REF!</v>
      </c>
      <c r="C10" s="3"/>
      <c r="D10" s="3"/>
      <c r="E10" s="3"/>
      <c r="F10" s="147"/>
      <c r="G10" s="3"/>
      <c r="H10" s="148"/>
      <c r="I10" s="3"/>
      <c r="J10" s="1"/>
      <c r="K10" s="3"/>
    </row>
    <row r="11" spans="2:11">
      <c r="B11" s="146">
        <f>NT!B18</f>
        <v>15</v>
      </c>
      <c r="C11" s="3"/>
      <c r="D11" s="3"/>
      <c r="E11" s="3"/>
      <c r="F11" s="147"/>
      <c r="G11" s="3"/>
      <c r="H11" s="148"/>
      <c r="I11" s="3"/>
      <c r="J11" s="1"/>
      <c r="K11" s="3"/>
    </row>
    <row r="12" spans="2:11">
      <c r="B12" s="146">
        <f>ACT!B14</f>
        <v>11</v>
      </c>
      <c r="C12" s="3"/>
      <c r="D12" s="3"/>
      <c r="E12" s="3"/>
      <c r="F12" s="147"/>
      <c r="G12" s="3"/>
      <c r="H12" s="148"/>
      <c r="I12" s="3"/>
      <c r="J12" s="1"/>
      <c r="K12" s="3"/>
    </row>
    <row r="13" spans="2:11">
      <c r="B13" s="146">
        <f>GS!B87</f>
        <v>84</v>
      </c>
      <c r="C13" s="3"/>
      <c r="D13" s="3"/>
      <c r="E13" s="3"/>
      <c r="F13" s="147"/>
      <c r="G13" s="3"/>
      <c r="H13" s="148"/>
      <c r="I13" s="3"/>
      <c r="J13" s="1"/>
      <c r="K13" s="3"/>
    </row>
    <row r="14" spans="2:11">
      <c r="B14" s="146">
        <f>GS!B88</f>
        <v>85</v>
      </c>
      <c r="C14" s="3"/>
      <c r="D14" s="3"/>
      <c r="E14" s="3"/>
      <c r="F14" s="147"/>
      <c r="G14" s="3"/>
      <c r="H14" s="148"/>
      <c r="I14" s="3"/>
      <c r="J14" s="1"/>
      <c r="K14" s="3"/>
    </row>
    <row r="15" spans="2:11">
      <c r="B15" s="146">
        <f>GS!B89</f>
        <v>86</v>
      </c>
      <c r="C15" s="3"/>
      <c r="D15" s="3"/>
      <c r="E15" s="3"/>
      <c r="F15" s="147"/>
      <c r="G15" s="3"/>
      <c r="H15" s="148"/>
      <c r="I15" s="3"/>
      <c r="J15" s="1"/>
      <c r="K15" s="3"/>
    </row>
    <row r="16" spans="2:11">
      <c r="B16" s="146">
        <f>GS!B90</f>
        <v>87</v>
      </c>
      <c r="C16" s="3"/>
      <c r="D16" s="3"/>
      <c r="E16" s="3"/>
      <c r="F16" s="147"/>
      <c r="G16" s="3"/>
      <c r="H16" s="148"/>
      <c r="I16" s="3"/>
      <c r="J16" s="1"/>
      <c r="K16" s="3"/>
    </row>
    <row r="17" spans="2:11">
      <c r="B17" s="146">
        <f>GS!B91</f>
        <v>88</v>
      </c>
      <c r="C17" s="3"/>
      <c r="D17" s="3"/>
      <c r="E17" s="3"/>
      <c r="F17" s="147"/>
      <c r="G17" s="3"/>
      <c r="H17" s="148"/>
      <c r="I17" s="3"/>
      <c r="J17" s="1"/>
      <c r="K17" s="3"/>
    </row>
    <row r="18" spans="2:11">
      <c r="B18" s="146">
        <f>GS!B92</f>
        <v>89</v>
      </c>
      <c r="C18" s="3"/>
      <c r="D18" s="3"/>
      <c r="E18" s="3"/>
      <c r="F18" s="147"/>
      <c r="G18" s="3"/>
      <c r="H18" s="148"/>
      <c r="I18" s="3"/>
      <c r="J18" s="1"/>
      <c r="K18" s="3"/>
    </row>
    <row r="19" spans="2:11">
      <c r="B19" s="146">
        <f>GS!B93</f>
        <v>90</v>
      </c>
      <c r="C19" s="3"/>
      <c r="D19" s="3"/>
      <c r="E19" s="3"/>
      <c r="F19" s="147"/>
      <c r="G19" s="3"/>
      <c r="H19" s="148"/>
      <c r="I19" s="3"/>
      <c r="J19" s="1"/>
      <c r="K19" s="3"/>
    </row>
    <row r="20" spans="2:11">
      <c r="B20" s="3"/>
      <c r="C20" s="4"/>
      <c r="D20" s="56"/>
      <c r="E20" s="4"/>
      <c r="F20" s="65"/>
      <c r="G20" s="4"/>
      <c r="H20" s="10"/>
      <c r="I20" s="3"/>
      <c r="J20" s="1"/>
      <c r="K20" s="3"/>
    </row>
    <row r="21" spans="2:11">
      <c r="C21" s="145"/>
      <c r="D21" s="56"/>
      <c r="E21" s="4"/>
      <c r="F21" s="65"/>
      <c r="G21" s="4"/>
      <c r="H21" s="10"/>
      <c r="I21" s="3"/>
      <c r="J21" s="1"/>
      <c r="K21" s="3"/>
    </row>
  </sheetData>
  <phoneticPr fontId="7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31</vt:i4>
      </vt:variant>
      <vt:variant>
        <vt:lpstr>名前付き一覧</vt:lpstr>
      </vt:variant>
      <vt:variant>
        <vt:i4>26</vt:i4>
      </vt:variant>
    </vt:vector>
  </HeadingPairs>
  <TitlesOfParts>
    <vt:vector size="57" baseType="lpstr">
      <vt:lpstr>見積・請求書→</vt:lpstr>
      <vt:lpstr>トヨタ紡織→</vt:lpstr>
      <vt:lpstr>A1</vt:lpstr>
      <vt:lpstr>A11</vt:lpstr>
      <vt:lpstr>A12</vt:lpstr>
      <vt:lpstr>A13</vt:lpstr>
      <vt:lpstr>A2</vt:lpstr>
      <vt:lpstr>A3</vt:lpstr>
      <vt:lpstr>A4</vt:lpstr>
      <vt:lpstr>Fr骨格</vt:lpstr>
      <vt:lpstr>Rr骨格</vt:lpstr>
      <vt:lpstr>GS</vt:lpstr>
      <vt:lpstr>BX→ｼｰﾄﾃﾞﾊﾞｲｽ</vt:lpstr>
      <vt:lpstr>ND</vt:lpstr>
      <vt:lpstr>ACT</vt:lpstr>
      <vt:lpstr>NT</vt:lpstr>
      <vt:lpstr>内外装先行開発部</vt:lpstr>
      <vt:lpstr>内外装実験部</vt:lpstr>
      <vt:lpstr>SH→設計品質改善室</vt:lpstr>
      <vt:lpstr>技管</vt:lpstr>
      <vt:lpstr>デザイン部</vt:lpstr>
      <vt:lpstr>空間ビジョニアリング部</vt:lpstr>
      <vt:lpstr>シート計画部　SAT推進室</vt:lpstr>
      <vt:lpstr>TBEU</vt:lpstr>
      <vt:lpstr>内外装部品センター</vt:lpstr>
      <vt:lpstr>注文書(外注・物品購入)</vt:lpstr>
      <vt:lpstr>委託プロジェクトコード</vt:lpstr>
      <vt:lpstr>支払い時期に関して</vt:lpstr>
      <vt:lpstr>採番ルール</vt:lpstr>
      <vt:lpstr>タスク</vt:lpstr>
      <vt:lpstr>確認用</vt:lpstr>
      <vt:lpstr>委託プロジェクトコード!Print_Area</vt:lpstr>
      <vt:lpstr>支払い時期に関して!Print_Area</vt:lpstr>
      <vt:lpstr>'A1'!Print_Titles</vt:lpstr>
      <vt:lpstr>'A11'!Print_Titles</vt:lpstr>
      <vt:lpstr>'A12'!Print_Titles</vt:lpstr>
      <vt:lpstr>'A13'!Print_Titles</vt:lpstr>
      <vt:lpstr>'A2'!Print_Titles</vt:lpstr>
      <vt:lpstr>'A3'!Print_Titles</vt:lpstr>
      <vt:lpstr>'A4'!Print_Titles</vt:lpstr>
      <vt:lpstr>ACT!Print_Titles</vt:lpstr>
      <vt:lpstr>BX→ｼｰﾄﾃﾞﾊﾞｲｽ!Print_Titles</vt:lpstr>
      <vt:lpstr>Fr骨格!Print_Titles</vt:lpstr>
      <vt:lpstr>GS!Print_Titles</vt:lpstr>
      <vt:lpstr>ND!Print_Titles</vt:lpstr>
      <vt:lpstr>NT!Print_Titles</vt:lpstr>
      <vt:lpstr>Rr骨格!Print_Titles</vt:lpstr>
      <vt:lpstr>SH→設計品質改善室!Print_Titles</vt:lpstr>
      <vt:lpstr>TBEU!Print_Titles</vt:lpstr>
      <vt:lpstr>'シート計画部　SAT推進室'!Print_Titles</vt:lpstr>
      <vt:lpstr>デザイン部!Print_Titles</vt:lpstr>
      <vt:lpstr>トヨタ紡織→!Print_Titles</vt:lpstr>
      <vt:lpstr>技管!Print_Titles</vt:lpstr>
      <vt:lpstr>空間ビジョニアリング部!Print_Titles</vt:lpstr>
      <vt:lpstr>内外装実験部!Print_Titles</vt:lpstr>
      <vt:lpstr>内外装先行開発部!Print_Titles</vt:lpstr>
      <vt:lpstr>内外装部品センター!Print_Titles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Chie SUZUKI</dc:creator>
  <cp:keywords/>
  <dc:description/>
  <cp:lastModifiedBy>久目形拓哉</cp:lastModifiedBy>
  <cp:revision/>
  <cp:lastPrinted>2025-03-04T06:51:53Z</cp:lastPrinted>
  <dcterms:created xsi:type="dcterms:W3CDTF">2015-06-05T18:19:34Z</dcterms:created>
  <dcterms:modified xsi:type="dcterms:W3CDTF">2026-06-30T07:21:56Z</dcterms:modified>
  <cp:category/>
  <cp:contentStatus/>
</cp:coreProperties>
</file>